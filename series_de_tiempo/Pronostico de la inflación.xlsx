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defaultThemeVersion="124226"/>
  <mc:AlternateContent xmlns:mc="http://schemas.openxmlformats.org/markup-compatibility/2006">
    <mc:Choice Requires="x15">
      <x15ac:absPath xmlns:x15ac="http://schemas.microsoft.com/office/spreadsheetml/2010/11/ac" url="/Users/benjaminparraguez/Desktop/"/>
    </mc:Choice>
  </mc:AlternateContent>
  <xr:revisionPtr revIDLastSave="0" documentId="13_ncr:1_{4FCE11FF-9222-1A48-AB1C-D1F53CCFEA52}" xr6:coauthVersionLast="47" xr6:coauthVersionMax="47" xr10:uidLastSave="{00000000-0000-0000-0000-000000000000}"/>
  <bookViews>
    <workbookView xWindow="0" yWindow="500" windowWidth="28800" windowHeight="15560" xr2:uid="{00000000-000D-0000-FFFF-FFFF00000000}"/>
  </bookViews>
  <sheets>
    <sheet name="NOWCAST" sheetId="14" r:id="rId1"/>
    <sheet name="PRÓNOSTICO" sheetId="16" r:id="rId2"/>
    <sheet name="ANÁLISIS" sheetId="18" r:id="rId3"/>
    <sheet name="MODELO AR(2)" sheetId="17" r:id="rId4"/>
    <sheet name="PRONOSTICAR CON MODELO AR(2)" sheetId="2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8" i="21" l="1"/>
  <c r="B309" i="21" s="1"/>
  <c r="B310" i="21" s="1"/>
  <c r="B311" i="21" s="1"/>
  <c r="B312" i="21" s="1"/>
  <c r="B313" i="21" s="1"/>
  <c r="B314" i="21" s="1"/>
  <c r="B315" i="21" s="1"/>
  <c r="B316" i="21" s="1"/>
  <c r="B317" i="21" s="1"/>
  <c r="B318" i="21" s="1"/>
  <c r="B319" i="21" s="1"/>
  <c r="B320" i="21" s="1"/>
  <c r="H148" i="17" a="1"/>
  <c r="H148" i="17" s="1"/>
  <c r="G148" i="17" s="1"/>
  <c r="E308" i="21"/>
  <c r="E307" i="21"/>
  <c r="F308" i="21" s="1"/>
  <c r="E306" i="21"/>
  <c r="F307" i="21" s="1"/>
  <c r="E305" i="21"/>
  <c r="F306" i="21" s="1"/>
  <c r="E304" i="21"/>
  <c r="F305" i="21" s="1"/>
  <c r="E303" i="21"/>
  <c r="F304" i="21" s="1"/>
  <c r="E302" i="21"/>
  <c r="F303" i="21" s="1"/>
  <c r="E301" i="21"/>
  <c r="F302" i="21" s="1"/>
  <c r="E300" i="21"/>
  <c r="F301" i="21" s="1"/>
  <c r="E299" i="21"/>
  <c r="F300" i="21" s="1"/>
  <c r="E298" i="21"/>
  <c r="F299" i="21" s="1"/>
  <c r="E297" i="21"/>
  <c r="F298" i="21" s="1"/>
  <c r="E296" i="21"/>
  <c r="F297" i="21" s="1"/>
  <c r="E295" i="21"/>
  <c r="F296" i="21" s="1"/>
  <c r="E294" i="21"/>
  <c r="F295" i="21" s="1"/>
  <c r="E293" i="21"/>
  <c r="F294" i="21" s="1"/>
  <c r="E292" i="21"/>
  <c r="F293" i="21" s="1"/>
  <c r="E291" i="21"/>
  <c r="F292" i="21" s="1"/>
  <c r="E290" i="21"/>
  <c r="F291" i="21" s="1"/>
  <c r="E289" i="21"/>
  <c r="F290" i="21" s="1"/>
  <c r="E288" i="21"/>
  <c r="F289" i="21" s="1"/>
  <c r="E287" i="21"/>
  <c r="F288" i="21" s="1"/>
  <c r="E286" i="21"/>
  <c r="F287" i="21" s="1"/>
  <c r="E285" i="21"/>
  <c r="F286" i="21" s="1"/>
  <c r="E284" i="21"/>
  <c r="F285" i="21" s="1"/>
  <c r="E283" i="21"/>
  <c r="F284" i="21" s="1"/>
  <c r="E282" i="21"/>
  <c r="F283" i="21" s="1"/>
  <c r="E281" i="21"/>
  <c r="F282" i="21" s="1"/>
  <c r="E280" i="21"/>
  <c r="F281" i="21" s="1"/>
  <c r="E279" i="21"/>
  <c r="F280" i="21" s="1"/>
  <c r="E278" i="21"/>
  <c r="F279" i="21" s="1"/>
  <c r="E277" i="21"/>
  <c r="F278" i="21" s="1"/>
  <c r="E276" i="21"/>
  <c r="F277" i="21" s="1"/>
  <c r="E275" i="21"/>
  <c r="F276" i="21" s="1"/>
  <c r="E274" i="21"/>
  <c r="F275" i="21" s="1"/>
  <c r="E273" i="21"/>
  <c r="F274" i="21" s="1"/>
  <c r="E272" i="21"/>
  <c r="F273" i="21" s="1"/>
  <c r="E271" i="21"/>
  <c r="F272" i="21" s="1"/>
  <c r="E270" i="21"/>
  <c r="F271" i="21" s="1"/>
  <c r="E269" i="21"/>
  <c r="F270" i="21" s="1"/>
  <c r="E268" i="21"/>
  <c r="F269" i="21" s="1"/>
  <c r="E267" i="21"/>
  <c r="F268" i="21" s="1"/>
  <c r="E266" i="21"/>
  <c r="F267" i="21" s="1"/>
  <c r="E265" i="21"/>
  <c r="F266" i="21" s="1"/>
  <c r="E264" i="21"/>
  <c r="F265" i="21" s="1"/>
  <c r="E263" i="21"/>
  <c r="F264" i="21" s="1"/>
  <c r="E262" i="21"/>
  <c r="F263" i="21" s="1"/>
  <c r="E261" i="21"/>
  <c r="F262" i="21" s="1"/>
  <c r="E260" i="21"/>
  <c r="F261" i="21" s="1"/>
  <c r="E259" i="21"/>
  <c r="F260" i="21" s="1"/>
  <c r="E258" i="21"/>
  <c r="F259" i="21" s="1"/>
  <c r="E257" i="21"/>
  <c r="F258" i="21" s="1"/>
  <c r="E256" i="21"/>
  <c r="F257" i="21" s="1"/>
  <c r="E255" i="21"/>
  <c r="F256" i="21" s="1"/>
  <c r="E254" i="21"/>
  <c r="F255" i="21" s="1"/>
  <c r="E253" i="21"/>
  <c r="F254" i="21" s="1"/>
  <c r="E252" i="21"/>
  <c r="F253" i="21" s="1"/>
  <c r="E251" i="21"/>
  <c r="F252" i="21" s="1"/>
  <c r="E250" i="21"/>
  <c r="F251" i="21" s="1"/>
  <c r="E249" i="21"/>
  <c r="F250" i="21" s="1"/>
  <c r="E248" i="21"/>
  <c r="F249" i="21" s="1"/>
  <c r="E247" i="21"/>
  <c r="F248" i="21" s="1"/>
  <c r="E246" i="21"/>
  <c r="F247" i="21" s="1"/>
  <c r="E245" i="21"/>
  <c r="F246" i="21" s="1"/>
  <c r="E244" i="21"/>
  <c r="F245" i="21" s="1"/>
  <c r="E243" i="21"/>
  <c r="F244" i="21" s="1"/>
  <c r="E242" i="21"/>
  <c r="F243" i="21" s="1"/>
  <c r="E241" i="21"/>
  <c r="F242" i="21" s="1"/>
  <c r="E240" i="21"/>
  <c r="F241" i="21" s="1"/>
  <c r="E239" i="21"/>
  <c r="F240" i="21" s="1"/>
  <c r="E238" i="21"/>
  <c r="F239" i="21" s="1"/>
  <c r="E237" i="21"/>
  <c r="F238" i="21" s="1"/>
  <c r="E236" i="21"/>
  <c r="F237" i="21" s="1"/>
  <c r="E235" i="21"/>
  <c r="F236" i="21" s="1"/>
  <c r="E234" i="21"/>
  <c r="F235" i="21" s="1"/>
  <c r="E233" i="21"/>
  <c r="F234" i="21" s="1"/>
  <c r="E232" i="21"/>
  <c r="F233" i="21" s="1"/>
  <c r="E231" i="21"/>
  <c r="F232" i="21" s="1"/>
  <c r="E230" i="21"/>
  <c r="F231" i="21" s="1"/>
  <c r="F229" i="21"/>
  <c r="E229" i="21"/>
  <c r="F230" i="21" s="1"/>
  <c r="E228" i="21"/>
  <c r="E227" i="21"/>
  <c r="F228" i="21" s="1"/>
  <c r="E226" i="21"/>
  <c r="F227" i="21" s="1"/>
  <c r="F225" i="21"/>
  <c r="E225" i="21"/>
  <c r="F226" i="21" s="1"/>
  <c r="E224" i="21"/>
  <c r="F223" i="21"/>
  <c r="E223" i="21"/>
  <c r="F224" i="21" s="1"/>
  <c r="E222" i="21"/>
  <c r="F221" i="21"/>
  <c r="E221" i="21"/>
  <c r="F222" i="21" s="1"/>
  <c r="F220" i="21"/>
  <c r="E220" i="21"/>
  <c r="E219" i="21"/>
  <c r="F218" i="21"/>
  <c r="E218" i="21"/>
  <c r="F219" i="21" s="1"/>
  <c r="E217" i="21"/>
  <c r="F216" i="21"/>
  <c r="E216" i="21"/>
  <c r="F217" i="21" s="1"/>
  <c r="E215" i="21"/>
  <c r="F214" i="21"/>
  <c r="E214" i="21"/>
  <c r="F215" i="21" s="1"/>
  <c r="E213" i="21"/>
  <c r="F212" i="21"/>
  <c r="E212" i="21"/>
  <c r="F213" i="21" s="1"/>
  <c r="E211" i="21"/>
  <c r="F210" i="21"/>
  <c r="E210" i="21"/>
  <c r="F211" i="21" s="1"/>
  <c r="E209" i="21"/>
  <c r="F208" i="21"/>
  <c r="E208" i="21"/>
  <c r="F209" i="21" s="1"/>
  <c r="E207" i="21"/>
  <c r="F206" i="21"/>
  <c r="E206" i="21"/>
  <c r="F207" i="21" s="1"/>
  <c r="E205" i="21"/>
  <c r="F204" i="21"/>
  <c r="E204" i="21"/>
  <c r="F205" i="21" s="1"/>
  <c r="E203" i="21"/>
  <c r="F202" i="21"/>
  <c r="E202" i="21"/>
  <c r="F203" i="21" s="1"/>
  <c r="E201" i="21"/>
  <c r="F200" i="21"/>
  <c r="E200" i="21"/>
  <c r="F201" i="21" s="1"/>
  <c r="E199" i="21"/>
  <c r="E198" i="21"/>
  <c r="F199" i="21" s="1"/>
  <c r="E197" i="21"/>
  <c r="F198" i="21" s="1"/>
  <c r="F196" i="21"/>
  <c r="E196" i="21"/>
  <c r="F197" i="21" s="1"/>
  <c r="E195" i="21"/>
  <c r="E194" i="21"/>
  <c r="F195" i="21" s="1"/>
  <c r="F193" i="21"/>
  <c r="E193" i="21"/>
  <c r="F194" i="21" s="1"/>
  <c r="E192" i="21"/>
  <c r="F191" i="21"/>
  <c r="E191" i="21"/>
  <c r="F192" i="21" s="1"/>
  <c r="E190" i="21"/>
  <c r="F189" i="21"/>
  <c r="E189" i="21"/>
  <c r="F190" i="21" s="1"/>
  <c r="E188" i="21"/>
  <c r="E187" i="21"/>
  <c r="F188" i="21" s="1"/>
  <c r="E186" i="21"/>
  <c r="F187" i="21" s="1"/>
  <c r="E185" i="21"/>
  <c r="F186" i="21" s="1"/>
  <c r="E184" i="21"/>
  <c r="F185" i="21" s="1"/>
  <c r="E183" i="21"/>
  <c r="F184" i="21" s="1"/>
  <c r="E182" i="21"/>
  <c r="F183" i="21" s="1"/>
  <c r="F181" i="21"/>
  <c r="E181" i="21"/>
  <c r="F182" i="21" s="1"/>
  <c r="E180" i="21"/>
  <c r="F179" i="21"/>
  <c r="E179" i="21"/>
  <c r="F180" i="21" s="1"/>
  <c r="E178" i="21"/>
  <c r="E177" i="21"/>
  <c r="F178" i="21" s="1"/>
  <c r="E176" i="21"/>
  <c r="F177" i="21" s="1"/>
  <c r="E175" i="21"/>
  <c r="F176" i="21" s="1"/>
  <c r="E174" i="21"/>
  <c r="F175" i="21" s="1"/>
  <c r="E173" i="21"/>
  <c r="F174" i="21" s="1"/>
  <c r="F172" i="21"/>
  <c r="E172" i="21"/>
  <c r="F173" i="21" s="1"/>
  <c r="E171" i="21"/>
  <c r="F170" i="21"/>
  <c r="E170" i="21"/>
  <c r="F171" i="21" s="1"/>
  <c r="E169" i="21"/>
  <c r="E168" i="21"/>
  <c r="F169" i="21" s="1"/>
  <c r="E167" i="21"/>
  <c r="F168" i="21" s="1"/>
  <c r="E166" i="21"/>
  <c r="F167" i="21" s="1"/>
  <c r="E165" i="21"/>
  <c r="F166" i="21" s="1"/>
  <c r="F164" i="21"/>
  <c r="E164" i="21"/>
  <c r="F165" i="21" s="1"/>
  <c r="E163" i="21"/>
  <c r="F162" i="21"/>
  <c r="E162" i="21"/>
  <c r="F163" i="21" s="1"/>
  <c r="E161" i="21"/>
  <c r="E160" i="21"/>
  <c r="F161" i="21" s="1"/>
  <c r="E159" i="21"/>
  <c r="F160" i="21" s="1"/>
  <c r="E158" i="21"/>
  <c r="F159" i="21" s="1"/>
  <c r="E157" i="21"/>
  <c r="F158" i="21" s="1"/>
  <c r="E156" i="21"/>
  <c r="F157" i="21" s="1"/>
  <c r="E155" i="21"/>
  <c r="F156" i="21" s="1"/>
  <c r="E154" i="21"/>
  <c r="F155" i="21" s="1"/>
  <c r="F153" i="21"/>
  <c r="E153" i="21"/>
  <c r="F154" i="21" s="1"/>
  <c r="E152" i="21"/>
  <c r="F151" i="21"/>
  <c r="E151" i="21"/>
  <c r="F152" i="21" s="1"/>
  <c r="E150" i="21"/>
  <c r="E149" i="21"/>
  <c r="F150" i="21" s="1"/>
  <c r="E148" i="21"/>
  <c r="F149" i="21" s="1"/>
  <c r="C148" i="21"/>
  <c r="E147" i="21"/>
  <c r="F148" i="21" s="1"/>
  <c r="E146" i="21"/>
  <c r="F147" i="21" s="1"/>
  <c r="E145" i="21"/>
  <c r="F146" i="21" s="1"/>
  <c r="E144" i="21"/>
  <c r="F145" i="21" s="1"/>
  <c r="E143" i="21"/>
  <c r="F144" i="21" s="1"/>
  <c r="E142" i="21"/>
  <c r="F143" i="21" s="1"/>
  <c r="E141" i="21"/>
  <c r="F142" i="21" s="1"/>
  <c r="E140" i="21"/>
  <c r="F141" i="21" s="1"/>
  <c r="E139" i="21"/>
  <c r="F140" i="21" s="1"/>
  <c r="E138" i="21"/>
  <c r="F139" i="21" s="1"/>
  <c r="F137" i="21"/>
  <c r="E137" i="21"/>
  <c r="F138" i="21" s="1"/>
  <c r="E136" i="21"/>
  <c r="E135" i="21"/>
  <c r="F136" i="21" s="1"/>
  <c r="E134" i="21"/>
  <c r="F135" i="21" s="1"/>
  <c r="E133" i="21"/>
  <c r="F134" i="21" s="1"/>
  <c r="E132" i="21"/>
  <c r="F133" i="21" s="1"/>
  <c r="F131" i="21"/>
  <c r="E131" i="21"/>
  <c r="F132" i="21" s="1"/>
  <c r="E130" i="21"/>
  <c r="E129" i="21"/>
  <c r="F130" i="21" s="1"/>
  <c r="E128" i="21"/>
  <c r="F129" i="21" s="1"/>
  <c r="E127" i="21"/>
  <c r="F128" i="21" s="1"/>
  <c r="E126" i="21"/>
  <c r="F127" i="21" s="1"/>
  <c r="F125" i="21"/>
  <c r="E125" i="21"/>
  <c r="F126" i="21" s="1"/>
  <c r="E124" i="21"/>
  <c r="E123" i="21"/>
  <c r="F124" i="21" s="1"/>
  <c r="E122" i="21"/>
  <c r="F123" i="21" s="1"/>
  <c r="E121" i="21"/>
  <c r="F122" i="21" s="1"/>
  <c r="E120" i="21"/>
  <c r="F121" i="21" s="1"/>
  <c r="E119" i="21"/>
  <c r="F120" i="21" s="1"/>
  <c r="E118" i="21"/>
  <c r="F119" i="21" s="1"/>
  <c r="E117" i="21"/>
  <c r="F118" i="21" s="1"/>
  <c r="E116" i="21"/>
  <c r="F117" i="21" s="1"/>
  <c r="E115" i="21"/>
  <c r="F116" i="21" s="1"/>
  <c r="E114" i="21"/>
  <c r="F115" i="21" s="1"/>
  <c r="E113" i="21"/>
  <c r="F114" i="21" s="1"/>
  <c r="E112" i="21"/>
  <c r="F113" i="21" s="1"/>
  <c r="E111" i="21"/>
  <c r="F112" i="21" s="1"/>
  <c r="E110" i="21"/>
  <c r="F111" i="21" s="1"/>
  <c r="E109" i="21"/>
  <c r="F110" i="21" s="1"/>
  <c r="E108" i="21"/>
  <c r="F109" i="21" s="1"/>
  <c r="E107" i="21"/>
  <c r="F108" i="21" s="1"/>
  <c r="E106" i="21"/>
  <c r="F107" i="21" s="1"/>
  <c r="E105" i="21"/>
  <c r="F106" i="21" s="1"/>
  <c r="E104" i="21"/>
  <c r="F105" i="21" s="1"/>
  <c r="E103" i="21"/>
  <c r="F104" i="21" s="1"/>
  <c r="F102" i="21"/>
  <c r="E102" i="21"/>
  <c r="F103" i="21" s="1"/>
  <c r="E101" i="21"/>
  <c r="F100" i="21"/>
  <c r="E100" i="21"/>
  <c r="F101" i="21" s="1"/>
  <c r="E99" i="21"/>
  <c r="E98" i="21"/>
  <c r="F99" i="21" s="1"/>
  <c r="E97" i="21"/>
  <c r="F98" i="21" s="1"/>
  <c r="E96" i="21"/>
  <c r="F97" i="21" s="1"/>
  <c r="F95" i="21"/>
  <c r="E95" i="21"/>
  <c r="F96" i="21" s="1"/>
  <c r="E94" i="21"/>
  <c r="F93" i="21"/>
  <c r="E93" i="21"/>
  <c r="F94" i="21" s="1"/>
  <c r="E92" i="21"/>
  <c r="E91" i="21"/>
  <c r="F92" i="21" s="1"/>
  <c r="E90" i="21"/>
  <c r="F91" i="21" s="1"/>
  <c r="E89" i="21"/>
  <c r="F90" i="21" s="1"/>
  <c r="E88" i="21"/>
  <c r="F89" i="21" s="1"/>
  <c r="F87" i="21"/>
  <c r="E87" i="21"/>
  <c r="F88" i="21" s="1"/>
  <c r="E86" i="21"/>
  <c r="E85" i="21"/>
  <c r="F86" i="21" s="1"/>
  <c r="E84" i="21"/>
  <c r="F85" i="21" s="1"/>
  <c r="E83" i="21"/>
  <c r="F84" i="21" s="1"/>
  <c r="E82" i="21"/>
  <c r="F83" i="21" s="1"/>
  <c r="E81" i="21"/>
  <c r="F82" i="21" s="1"/>
  <c r="E80" i="21"/>
  <c r="F81" i="21" s="1"/>
  <c r="E79" i="21"/>
  <c r="F80" i="21" s="1"/>
  <c r="E78" i="21"/>
  <c r="F79" i="21" s="1"/>
  <c r="E77" i="21"/>
  <c r="F78" i="21" s="1"/>
  <c r="E76" i="21"/>
  <c r="F77" i="21" s="1"/>
  <c r="E75" i="21"/>
  <c r="F76" i="21" s="1"/>
  <c r="E74" i="21"/>
  <c r="F75" i="21" s="1"/>
  <c r="E73" i="21"/>
  <c r="F74" i="21" s="1"/>
  <c r="E72" i="21"/>
  <c r="F73" i="21" s="1"/>
  <c r="E71" i="21"/>
  <c r="F72" i="21" s="1"/>
  <c r="E70" i="21"/>
  <c r="F71" i="21" s="1"/>
  <c r="E69" i="21"/>
  <c r="F70" i="21" s="1"/>
  <c r="E68" i="21"/>
  <c r="F69" i="21" s="1"/>
  <c r="E67" i="21"/>
  <c r="F68" i="21" s="1"/>
  <c r="E66" i="21"/>
  <c r="F67" i="21" s="1"/>
  <c r="E65" i="21"/>
  <c r="F66" i="21" s="1"/>
  <c r="E64" i="21"/>
  <c r="F65" i="21" s="1"/>
  <c r="E63" i="21"/>
  <c r="F64" i="21" s="1"/>
  <c r="E62" i="21"/>
  <c r="F63" i="21" s="1"/>
  <c r="E61" i="21"/>
  <c r="F62" i="21" s="1"/>
  <c r="E60" i="21"/>
  <c r="F61" i="21" s="1"/>
  <c r="E59" i="21"/>
  <c r="F60" i="21" s="1"/>
  <c r="E58" i="21"/>
  <c r="F59" i="21" s="1"/>
  <c r="E57" i="21"/>
  <c r="F58" i="21" s="1"/>
  <c r="E56" i="21"/>
  <c r="F57" i="21" s="1"/>
  <c r="E55" i="21"/>
  <c r="F56" i="21" s="1"/>
  <c r="E54" i="21"/>
  <c r="F55" i="21" s="1"/>
  <c r="E53" i="21"/>
  <c r="F54" i="21" s="1"/>
  <c r="F52" i="21"/>
  <c r="E52" i="21"/>
  <c r="F53" i="21" s="1"/>
  <c r="E51" i="21"/>
  <c r="E50" i="21"/>
  <c r="F51" i="21" s="1"/>
  <c r="E49" i="21"/>
  <c r="F50" i="21" s="1"/>
  <c r="E48" i="21"/>
  <c r="F49" i="21" s="1"/>
  <c r="E47" i="21"/>
  <c r="F48" i="21" s="1"/>
  <c r="E46" i="21"/>
  <c r="F47" i="21" s="1"/>
  <c r="E45" i="21"/>
  <c r="F46" i="21" s="1"/>
  <c r="E44" i="21"/>
  <c r="F45" i="21" s="1"/>
  <c r="E43" i="21"/>
  <c r="F44" i="21" s="1"/>
  <c r="E42" i="21"/>
  <c r="F43" i="21" s="1"/>
  <c r="E41" i="21"/>
  <c r="F42" i="21" s="1"/>
  <c r="E40" i="21"/>
  <c r="F41" i="21" s="1"/>
  <c r="E39" i="21"/>
  <c r="F40" i="21" s="1"/>
  <c r="E38" i="21"/>
  <c r="F39" i="21" s="1"/>
  <c r="E37" i="21"/>
  <c r="F38" i="21" s="1"/>
  <c r="E36" i="21"/>
  <c r="F37" i="21" s="1"/>
  <c r="E35" i="21"/>
  <c r="F36" i="21" s="1"/>
  <c r="E34" i="21"/>
  <c r="F35" i="21" s="1"/>
  <c r="E33" i="21"/>
  <c r="F34" i="21" s="1"/>
  <c r="E32" i="21"/>
  <c r="F33" i="21" s="1"/>
  <c r="E31" i="21"/>
  <c r="F32" i="21" s="1"/>
  <c r="E30" i="21"/>
  <c r="F31" i="21" s="1"/>
  <c r="E29" i="21"/>
  <c r="F30" i="21" s="1"/>
  <c r="E28" i="21"/>
  <c r="F29" i="21" s="1"/>
  <c r="E27" i="21"/>
  <c r="F28" i="21" s="1"/>
  <c r="E26" i="21"/>
  <c r="F27" i="21" s="1"/>
  <c r="E25" i="21"/>
  <c r="F26" i="21" s="1"/>
  <c r="E24" i="21"/>
  <c r="F25" i="21" s="1"/>
  <c r="E23" i="21"/>
  <c r="F24" i="21" s="1"/>
  <c r="E22" i="21"/>
  <c r="F23" i="21" s="1"/>
  <c r="E21" i="21"/>
  <c r="F22" i="21" s="1"/>
  <c r="E20" i="21"/>
  <c r="F21" i="21" s="1"/>
  <c r="E19" i="21"/>
  <c r="F20" i="21" s="1"/>
  <c r="E18" i="21"/>
  <c r="F19" i="21" s="1"/>
  <c r="E17" i="21"/>
  <c r="F18" i="21" s="1"/>
  <c r="E16" i="21"/>
  <c r="F17" i="21" s="1"/>
  <c r="E15" i="21"/>
  <c r="F16" i="21" s="1"/>
  <c r="E14" i="21"/>
  <c r="F15" i="21" s="1"/>
  <c r="E13" i="21"/>
  <c r="F14" i="21" s="1"/>
  <c r="E12" i="21"/>
  <c r="F13" i="21" s="1"/>
  <c r="E11" i="21"/>
  <c r="F12" i="21" s="1"/>
  <c r="E10" i="21"/>
  <c r="F11" i="21" s="1"/>
  <c r="E9" i="21"/>
  <c r="F10" i="21" s="1"/>
  <c r="E8" i="21"/>
  <c r="F9" i="21" s="1"/>
  <c r="E7" i="21"/>
  <c r="F8" i="21" s="1"/>
  <c r="E6" i="21"/>
  <c r="F7" i="21" s="1"/>
  <c r="E5" i="21"/>
  <c r="F6" i="21" s="1"/>
  <c r="G304"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5" i="17"/>
  <c r="G306" i="17"/>
  <c r="G307" i="17"/>
  <c r="G308" i="17"/>
  <c r="K151" i="17" l="1"/>
  <c r="L151" i="17" s="1"/>
  <c r="K152" i="17"/>
  <c r="L152" i="17" s="1"/>
  <c r="K155" i="17"/>
  <c r="L155" i="17" s="1"/>
  <c r="K159" i="17"/>
  <c r="L159" i="17" s="1"/>
  <c r="K163" i="17"/>
  <c r="L163" i="17" s="1"/>
  <c r="K164" i="17"/>
  <c r="L164" i="17" s="1"/>
  <c r="K167" i="17"/>
  <c r="L167" i="17" s="1"/>
  <c r="K168" i="17"/>
  <c r="L168" i="17" s="1"/>
  <c r="K171" i="17"/>
  <c r="L171" i="17" s="1"/>
  <c r="K175" i="17"/>
  <c r="L175" i="17" s="1"/>
  <c r="K179" i="17"/>
  <c r="L179" i="17" s="1"/>
  <c r="K180" i="17"/>
  <c r="L180" i="17" s="1"/>
  <c r="K183" i="17"/>
  <c r="L183" i="17" s="1"/>
  <c r="K184" i="17"/>
  <c r="L184" i="17" s="1"/>
  <c r="K187" i="17"/>
  <c r="L187" i="17" s="1"/>
  <c r="K191" i="17"/>
  <c r="L191" i="17" s="1"/>
  <c r="K195" i="17"/>
  <c r="L195" i="17" s="1"/>
  <c r="K196" i="17"/>
  <c r="L196" i="17" s="1"/>
  <c r="K199" i="17"/>
  <c r="L199" i="17" s="1"/>
  <c r="K200" i="17"/>
  <c r="L200" i="17" s="1"/>
  <c r="K203" i="17"/>
  <c r="L203" i="17" s="1"/>
  <c r="K207" i="17"/>
  <c r="L207" i="17" s="1"/>
  <c r="K211" i="17"/>
  <c r="L211" i="17" s="1"/>
  <c r="K212" i="17"/>
  <c r="L212" i="17" s="1"/>
  <c r="K215" i="17"/>
  <c r="L215" i="17" s="1"/>
  <c r="K216" i="17"/>
  <c r="L216" i="17" s="1"/>
  <c r="K219" i="17"/>
  <c r="L219" i="17" s="1"/>
  <c r="K223" i="17"/>
  <c r="L223" i="17" s="1"/>
  <c r="K227" i="17"/>
  <c r="L227" i="17" s="1"/>
  <c r="K228" i="17"/>
  <c r="L228" i="17" s="1"/>
  <c r="K231" i="17"/>
  <c r="L231" i="17" s="1"/>
  <c r="K232" i="17"/>
  <c r="L232" i="17" s="1"/>
  <c r="K235" i="17"/>
  <c r="L235" i="17" s="1"/>
  <c r="K239" i="17"/>
  <c r="L239" i="17" s="1"/>
  <c r="K243" i="17"/>
  <c r="L243" i="17" s="1"/>
  <c r="K244" i="17"/>
  <c r="L244" i="17" s="1"/>
  <c r="K247" i="17"/>
  <c r="L247" i="17" s="1"/>
  <c r="K248" i="17"/>
  <c r="L248" i="17" s="1"/>
  <c r="K251" i="17"/>
  <c r="L251" i="17" s="1"/>
  <c r="K255" i="17"/>
  <c r="L255" i="17" s="1"/>
  <c r="K259" i="17"/>
  <c r="L259" i="17" s="1"/>
  <c r="K260" i="17"/>
  <c r="L260" i="17" s="1"/>
  <c r="K263" i="17"/>
  <c r="L263" i="17" s="1"/>
  <c r="K264" i="17"/>
  <c r="L264" i="17" s="1"/>
  <c r="K267" i="17"/>
  <c r="L267" i="17" s="1"/>
  <c r="K271" i="17"/>
  <c r="L271" i="17" s="1"/>
  <c r="K272" i="17"/>
  <c r="L272" i="17" s="1"/>
  <c r="K275" i="17"/>
  <c r="L275" i="17" s="1"/>
  <c r="K276" i="17"/>
  <c r="L276" i="17" s="1"/>
  <c r="K279" i="17"/>
  <c r="L279" i="17" s="1"/>
  <c r="K280" i="17"/>
  <c r="L280" i="17" s="1"/>
  <c r="K283" i="17"/>
  <c r="L283" i="17" s="1"/>
  <c r="K287" i="17"/>
  <c r="L287" i="17" s="1"/>
  <c r="K288" i="17"/>
  <c r="L288" i="17" s="1"/>
  <c r="K291" i="17"/>
  <c r="L291" i="17" s="1"/>
  <c r="K292" i="17"/>
  <c r="L292" i="17" s="1"/>
  <c r="K295" i="17"/>
  <c r="L295" i="17" s="1"/>
  <c r="K296" i="17"/>
  <c r="L296" i="17" s="1"/>
  <c r="K299" i="17"/>
  <c r="L299" i="17" s="1"/>
  <c r="K303" i="17"/>
  <c r="L303" i="17" s="1"/>
  <c r="K304" i="17"/>
  <c r="L304" i="17" s="1"/>
  <c r="K307" i="17"/>
  <c r="L307" i="17" s="1"/>
  <c r="K308" i="17"/>
  <c r="L308" i="17" s="1"/>
  <c r="L181" i="17"/>
  <c r="L197" i="17"/>
  <c r="L245" i="17"/>
  <c r="L253" i="17"/>
  <c r="L285" i="17"/>
  <c r="L301" i="17"/>
  <c r="K149" i="17"/>
  <c r="L149" i="17" s="1"/>
  <c r="K150" i="17"/>
  <c r="L150" i="17" s="1"/>
  <c r="K153" i="17"/>
  <c r="L153" i="17" s="1"/>
  <c r="K154" i="17"/>
  <c r="L154" i="17" s="1"/>
  <c r="K156" i="17"/>
  <c r="L156" i="17" s="1"/>
  <c r="K157" i="17"/>
  <c r="L157" i="17" s="1"/>
  <c r="K158" i="17"/>
  <c r="L158" i="17" s="1"/>
  <c r="K160" i="17"/>
  <c r="L160" i="17" s="1"/>
  <c r="K161" i="17"/>
  <c r="L161" i="17" s="1"/>
  <c r="K162" i="17"/>
  <c r="L162" i="17" s="1"/>
  <c r="K165" i="17"/>
  <c r="L165" i="17" s="1"/>
  <c r="K166" i="17"/>
  <c r="L166" i="17" s="1"/>
  <c r="K169" i="17"/>
  <c r="L169" i="17" s="1"/>
  <c r="K170" i="17"/>
  <c r="L170" i="17" s="1"/>
  <c r="K172" i="17"/>
  <c r="L172" i="17" s="1"/>
  <c r="K173" i="17"/>
  <c r="L173" i="17" s="1"/>
  <c r="K174" i="17"/>
  <c r="L174" i="17" s="1"/>
  <c r="K176" i="17"/>
  <c r="L176" i="17" s="1"/>
  <c r="K177" i="17"/>
  <c r="L177" i="17" s="1"/>
  <c r="K178" i="17"/>
  <c r="L178" i="17" s="1"/>
  <c r="K181" i="17"/>
  <c r="K182" i="17"/>
  <c r="L182" i="17" s="1"/>
  <c r="K185" i="17"/>
  <c r="L185" i="17" s="1"/>
  <c r="K186" i="17"/>
  <c r="L186" i="17" s="1"/>
  <c r="K188" i="17"/>
  <c r="L188" i="17" s="1"/>
  <c r="K189" i="17"/>
  <c r="L189" i="17" s="1"/>
  <c r="K190" i="17"/>
  <c r="L190" i="17" s="1"/>
  <c r="K192" i="17"/>
  <c r="L192" i="17" s="1"/>
  <c r="K193" i="17"/>
  <c r="L193" i="17" s="1"/>
  <c r="K194" i="17"/>
  <c r="L194" i="17" s="1"/>
  <c r="K197" i="17"/>
  <c r="K198" i="17"/>
  <c r="L198" i="17" s="1"/>
  <c r="K201" i="17"/>
  <c r="L201" i="17" s="1"/>
  <c r="K202" i="17"/>
  <c r="L202" i="17" s="1"/>
  <c r="K204" i="17"/>
  <c r="L204" i="17" s="1"/>
  <c r="K205" i="17"/>
  <c r="L205" i="17" s="1"/>
  <c r="K206" i="17"/>
  <c r="L206" i="17" s="1"/>
  <c r="K208" i="17"/>
  <c r="L208" i="17" s="1"/>
  <c r="K209" i="17"/>
  <c r="L209" i="17" s="1"/>
  <c r="K210" i="17"/>
  <c r="L210" i="17" s="1"/>
  <c r="K213" i="17"/>
  <c r="L213" i="17" s="1"/>
  <c r="K214" i="17"/>
  <c r="L214" i="17" s="1"/>
  <c r="K217" i="17"/>
  <c r="L217" i="17" s="1"/>
  <c r="K218" i="17"/>
  <c r="L218" i="17" s="1"/>
  <c r="K220" i="17"/>
  <c r="L220" i="17" s="1"/>
  <c r="K221" i="17"/>
  <c r="L221" i="17" s="1"/>
  <c r="K222" i="17"/>
  <c r="L222" i="17" s="1"/>
  <c r="K224" i="17"/>
  <c r="L224" i="17" s="1"/>
  <c r="K225" i="17"/>
  <c r="L225" i="17" s="1"/>
  <c r="K226" i="17"/>
  <c r="L226" i="17" s="1"/>
  <c r="K229" i="17"/>
  <c r="L229" i="17" s="1"/>
  <c r="K230" i="17"/>
  <c r="L230" i="17" s="1"/>
  <c r="K233" i="17"/>
  <c r="L233" i="17" s="1"/>
  <c r="K234" i="17"/>
  <c r="L234" i="17" s="1"/>
  <c r="K236" i="17"/>
  <c r="L236" i="17" s="1"/>
  <c r="K237" i="17"/>
  <c r="L237" i="17" s="1"/>
  <c r="K238" i="17"/>
  <c r="L238" i="17" s="1"/>
  <c r="K240" i="17"/>
  <c r="L240" i="17" s="1"/>
  <c r="K241" i="17"/>
  <c r="L241" i="17" s="1"/>
  <c r="K242" i="17"/>
  <c r="L242" i="17" s="1"/>
  <c r="K245" i="17"/>
  <c r="K246" i="17"/>
  <c r="L246" i="17" s="1"/>
  <c r="K249" i="17"/>
  <c r="L249" i="17" s="1"/>
  <c r="K250" i="17"/>
  <c r="L250" i="17" s="1"/>
  <c r="K252" i="17"/>
  <c r="L252" i="17" s="1"/>
  <c r="K253" i="17"/>
  <c r="K254" i="17"/>
  <c r="L254" i="17" s="1"/>
  <c r="K256" i="17"/>
  <c r="L256" i="17" s="1"/>
  <c r="K257" i="17"/>
  <c r="L257" i="17" s="1"/>
  <c r="K258" i="17"/>
  <c r="L258" i="17" s="1"/>
  <c r="K261" i="17"/>
  <c r="L261" i="17" s="1"/>
  <c r="K262" i="17"/>
  <c r="L262" i="17" s="1"/>
  <c r="K265" i="17"/>
  <c r="L265" i="17" s="1"/>
  <c r="K266" i="17"/>
  <c r="L266" i="17" s="1"/>
  <c r="K268" i="17"/>
  <c r="L268" i="17" s="1"/>
  <c r="K269" i="17"/>
  <c r="L269" i="17" s="1"/>
  <c r="K270" i="17"/>
  <c r="L270" i="17" s="1"/>
  <c r="K273" i="17"/>
  <c r="L273" i="17" s="1"/>
  <c r="K274" i="17"/>
  <c r="L274" i="17" s="1"/>
  <c r="K277" i="17"/>
  <c r="L277" i="17" s="1"/>
  <c r="K278" i="17"/>
  <c r="L278" i="17" s="1"/>
  <c r="K281" i="17"/>
  <c r="L281" i="17" s="1"/>
  <c r="K282" i="17"/>
  <c r="L282" i="17" s="1"/>
  <c r="K284" i="17"/>
  <c r="L284" i="17" s="1"/>
  <c r="K285" i="17"/>
  <c r="K286" i="17"/>
  <c r="L286" i="17" s="1"/>
  <c r="K289" i="17"/>
  <c r="L289" i="17" s="1"/>
  <c r="K290" i="17"/>
  <c r="L290" i="17" s="1"/>
  <c r="K293" i="17"/>
  <c r="L293" i="17" s="1"/>
  <c r="K294" i="17"/>
  <c r="L294" i="17" s="1"/>
  <c r="K297" i="17"/>
  <c r="L297" i="17" s="1"/>
  <c r="K298" i="17"/>
  <c r="L298" i="17" s="1"/>
  <c r="K300" i="17"/>
  <c r="L300" i="17" s="1"/>
  <c r="K301" i="17"/>
  <c r="K302" i="17"/>
  <c r="L302" i="17" s="1"/>
  <c r="K305" i="17"/>
  <c r="L305" i="17" s="1"/>
  <c r="K306" i="17"/>
  <c r="L306" i="17" s="1"/>
  <c r="K148" i="17"/>
  <c r="L148" i="17" s="1"/>
  <c r="L311" i="17" l="1"/>
  <c r="O319" i="16" l="1"/>
  <c r="T319" i="16"/>
  <c r="S319" i="16"/>
  <c r="R319" i="16"/>
  <c r="Q319" i="16"/>
  <c r="P319" i="16"/>
  <c r="T316" i="16"/>
  <c r="S316" i="16"/>
  <c r="R316" i="16"/>
  <c r="Q316" i="16"/>
  <c r="P316" i="16"/>
  <c r="O316" i="16"/>
  <c r="O316" i="14" l="1"/>
  <c r="L148" i="14"/>
  <c r="G148" i="14"/>
  <c r="F151" i="14"/>
  <c r="F150" i="14"/>
  <c r="F149" i="14"/>
  <c r="F148" i="14"/>
  <c r="E151" i="14"/>
  <c r="E150" i="14"/>
  <c r="E149" i="14"/>
  <c r="E148" i="14"/>
  <c r="F152" i="14" l="1"/>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149" i="16"/>
  <c r="G149" i="16" l="1"/>
  <c r="E276" i="17" l="1"/>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F6" i="17"/>
  <c r="E5" i="17"/>
  <c r="F279"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K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P263" i="16" s="1"/>
  <c r="J264" i="16"/>
  <c r="J265" i="16"/>
  <c r="J266" i="16"/>
  <c r="J267" i="16"/>
  <c r="J268" i="16"/>
  <c r="J269" i="16"/>
  <c r="J270" i="16"/>
  <c r="J271" i="16"/>
  <c r="P271" i="16" s="1"/>
  <c r="J272" i="16"/>
  <c r="J273" i="16"/>
  <c r="J274" i="16"/>
  <c r="J275" i="16"/>
  <c r="P275" i="16" s="1"/>
  <c r="J276" i="16"/>
  <c r="J277" i="16"/>
  <c r="J278" i="16"/>
  <c r="J279" i="16"/>
  <c r="P279" i="16" s="1"/>
  <c r="J280" i="16"/>
  <c r="J281" i="16"/>
  <c r="J282" i="16"/>
  <c r="J283" i="16"/>
  <c r="P283" i="16" s="1"/>
  <c r="J284" i="16"/>
  <c r="J285" i="16"/>
  <c r="J286" i="16"/>
  <c r="J287" i="16"/>
  <c r="P287" i="16" s="1"/>
  <c r="J288" i="16"/>
  <c r="J289" i="16"/>
  <c r="J290" i="16"/>
  <c r="J291" i="16"/>
  <c r="J292" i="16"/>
  <c r="J293" i="16"/>
  <c r="J294" i="16"/>
  <c r="J295" i="16"/>
  <c r="P295" i="16" s="1"/>
  <c r="J296" i="16"/>
  <c r="J297" i="16"/>
  <c r="J298" i="16"/>
  <c r="J299" i="16"/>
  <c r="P299" i="16" s="1"/>
  <c r="J300" i="16"/>
  <c r="J301" i="16"/>
  <c r="J302" i="16"/>
  <c r="J303" i="16"/>
  <c r="J304" i="16"/>
  <c r="J305" i="16"/>
  <c r="J306" i="16"/>
  <c r="J307" i="16"/>
  <c r="P307" i="16" s="1"/>
  <c r="J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I177" i="16"/>
  <c r="I178" i="16"/>
  <c r="I179" i="16"/>
  <c r="I180" i="16"/>
  <c r="I181" i="16"/>
  <c r="I182" i="16"/>
  <c r="I183" i="16"/>
  <c r="I184" i="16"/>
  <c r="I185" i="16"/>
  <c r="I186" i="16"/>
  <c r="I187" i="16"/>
  <c r="I188" i="16"/>
  <c r="I189" i="16"/>
  <c r="I190" i="16"/>
  <c r="I191" i="16"/>
  <c r="I192" i="16"/>
  <c r="I193" i="16"/>
  <c r="I194" i="16"/>
  <c r="I195" i="16"/>
  <c r="I196" i="16"/>
  <c r="I197" i="16"/>
  <c r="I198" i="16"/>
  <c r="I199" i="16"/>
  <c r="I200" i="16"/>
  <c r="I201" i="16"/>
  <c r="I202" i="16"/>
  <c r="I203" i="16"/>
  <c r="I204" i="16"/>
  <c r="I205" i="16"/>
  <c r="I206" i="16"/>
  <c r="I207" i="16"/>
  <c r="I208" i="16"/>
  <c r="I209" i="16"/>
  <c r="I210" i="16"/>
  <c r="I211" i="16"/>
  <c r="I212" i="16"/>
  <c r="I213" i="16"/>
  <c r="I214" i="16"/>
  <c r="I215" i="16"/>
  <c r="I216" i="16"/>
  <c r="I217" i="16"/>
  <c r="I218" i="16"/>
  <c r="I219" i="16"/>
  <c r="I220" i="16"/>
  <c r="I221" i="16"/>
  <c r="I222" i="16"/>
  <c r="I223" i="16"/>
  <c r="I224" i="16"/>
  <c r="I225" i="16"/>
  <c r="I226" i="16"/>
  <c r="I227" i="16"/>
  <c r="I228" i="16"/>
  <c r="I229" i="16"/>
  <c r="I230" i="16"/>
  <c r="I231" i="16"/>
  <c r="I232" i="16"/>
  <c r="I233" i="16"/>
  <c r="I234" i="16"/>
  <c r="I235" i="16"/>
  <c r="I236" i="16"/>
  <c r="I237" i="16"/>
  <c r="I238" i="16"/>
  <c r="I239" i="16"/>
  <c r="I240" i="16"/>
  <c r="I241" i="16"/>
  <c r="I242" i="16"/>
  <c r="I243" i="16"/>
  <c r="I244" i="16"/>
  <c r="I245" i="16"/>
  <c r="I246" i="16"/>
  <c r="I247" i="16"/>
  <c r="I248" i="16"/>
  <c r="I249" i="16"/>
  <c r="I250" i="16"/>
  <c r="I251" i="16"/>
  <c r="I252" i="16"/>
  <c r="I253" i="16"/>
  <c r="I254" i="16"/>
  <c r="I255" i="16"/>
  <c r="I256" i="16"/>
  <c r="I257" i="16"/>
  <c r="I258" i="16"/>
  <c r="I259" i="16"/>
  <c r="I260" i="16"/>
  <c r="I261" i="16"/>
  <c r="I262" i="16"/>
  <c r="I263" i="16"/>
  <c r="I264" i="16"/>
  <c r="I265" i="16"/>
  <c r="I266" i="16"/>
  <c r="I267" i="16"/>
  <c r="I268" i="16"/>
  <c r="I269" i="16"/>
  <c r="I270" i="16"/>
  <c r="I271" i="16"/>
  <c r="I272" i="16"/>
  <c r="I273" i="16"/>
  <c r="I274" i="16"/>
  <c r="I275" i="16"/>
  <c r="I276" i="16"/>
  <c r="I277" i="16"/>
  <c r="I278" i="16"/>
  <c r="I279" i="16"/>
  <c r="I280" i="16"/>
  <c r="I281" i="16"/>
  <c r="I282" i="16"/>
  <c r="I283" i="16"/>
  <c r="I284" i="16"/>
  <c r="I285" i="16"/>
  <c r="I286" i="16"/>
  <c r="I287" i="16"/>
  <c r="I288" i="16"/>
  <c r="I289" i="16"/>
  <c r="I290" i="16"/>
  <c r="I291" i="16"/>
  <c r="I292" i="16"/>
  <c r="I293" i="16"/>
  <c r="I294" i="16"/>
  <c r="I295" i="16"/>
  <c r="I296" i="16"/>
  <c r="I297" i="16"/>
  <c r="I298" i="16"/>
  <c r="I299" i="16"/>
  <c r="I300" i="16"/>
  <c r="I301" i="16"/>
  <c r="I302" i="16"/>
  <c r="I303" i="16"/>
  <c r="I304" i="16"/>
  <c r="I305" i="16"/>
  <c r="I306" i="16"/>
  <c r="I307" i="16"/>
  <c r="I149" i="16"/>
  <c r="E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G177" i="16"/>
  <c r="G178" i="16"/>
  <c r="G179" i="16"/>
  <c r="G180" i="16"/>
  <c r="G181" i="16"/>
  <c r="G182" i="16"/>
  <c r="G183" i="16"/>
  <c r="G184" i="16"/>
  <c r="G185" i="16"/>
  <c r="G186" i="16"/>
  <c r="G187" i="16"/>
  <c r="G188" i="16"/>
  <c r="G189" i="16"/>
  <c r="G190" i="16"/>
  <c r="G191" i="16"/>
  <c r="G192" i="16"/>
  <c r="G193" i="16"/>
  <c r="G194" i="16"/>
  <c r="G195" i="16"/>
  <c r="G196" i="16"/>
  <c r="G197" i="16"/>
  <c r="G198" i="16"/>
  <c r="G199" i="16"/>
  <c r="M199" i="16" s="1"/>
  <c r="S199" i="16" s="1"/>
  <c r="G200" i="16"/>
  <c r="G201" i="16"/>
  <c r="G202" i="16"/>
  <c r="G203" i="16"/>
  <c r="M203" i="16" s="1"/>
  <c r="S203" i="16" s="1"/>
  <c r="G204" i="16"/>
  <c r="G205" i="16"/>
  <c r="G206" i="16"/>
  <c r="G207" i="16"/>
  <c r="M207" i="16" s="1"/>
  <c r="S207" i="16" s="1"/>
  <c r="G208" i="16"/>
  <c r="G209" i="16"/>
  <c r="G210" i="16"/>
  <c r="G211" i="16"/>
  <c r="M211" i="16" s="1"/>
  <c r="S211" i="16" s="1"/>
  <c r="G212" i="16"/>
  <c r="G213" i="16"/>
  <c r="G214" i="16"/>
  <c r="G215" i="16"/>
  <c r="M215" i="16" s="1"/>
  <c r="S215" i="16" s="1"/>
  <c r="G216" i="16"/>
  <c r="G217" i="16"/>
  <c r="G218" i="16"/>
  <c r="G219" i="16"/>
  <c r="G220" i="16"/>
  <c r="G221" i="16"/>
  <c r="G222" i="16"/>
  <c r="G223" i="16"/>
  <c r="G224" i="16"/>
  <c r="G225" i="16"/>
  <c r="G226" i="16"/>
  <c r="G227" i="16"/>
  <c r="G228" i="16"/>
  <c r="G229" i="16"/>
  <c r="G230" i="16"/>
  <c r="G231" i="16"/>
  <c r="M231" i="16" s="1"/>
  <c r="S231" i="16" s="1"/>
  <c r="G232" i="16"/>
  <c r="G233" i="16"/>
  <c r="G234" i="16"/>
  <c r="G235" i="16"/>
  <c r="M235" i="16" s="1"/>
  <c r="S235" i="16" s="1"/>
  <c r="G236" i="16"/>
  <c r="G237" i="16"/>
  <c r="G238" i="16"/>
  <c r="G239" i="16"/>
  <c r="G240" i="16"/>
  <c r="G241" i="16"/>
  <c r="G242" i="16"/>
  <c r="G243" i="16"/>
  <c r="G244" i="16"/>
  <c r="G245" i="16"/>
  <c r="G246" i="16"/>
  <c r="G247" i="16"/>
  <c r="M247" i="16" s="1"/>
  <c r="S247" i="16" s="1"/>
  <c r="G248" i="16"/>
  <c r="G249" i="16"/>
  <c r="G250" i="16"/>
  <c r="G251" i="16"/>
  <c r="G252" i="16"/>
  <c r="G253" i="16"/>
  <c r="G254" i="16"/>
  <c r="G255" i="16"/>
  <c r="M255" i="16" s="1"/>
  <c r="S255" i="16" s="1"/>
  <c r="G256" i="16"/>
  <c r="G257" i="16"/>
  <c r="G258" i="16"/>
  <c r="G259" i="16"/>
  <c r="G260" i="16"/>
  <c r="G261" i="16"/>
  <c r="G262" i="16"/>
  <c r="G263" i="16"/>
  <c r="M263" i="16" s="1"/>
  <c r="S263" i="16" s="1"/>
  <c r="G264" i="16"/>
  <c r="G265" i="16"/>
  <c r="G266" i="16"/>
  <c r="G267" i="16"/>
  <c r="G268" i="16"/>
  <c r="G269" i="16"/>
  <c r="G270" i="16"/>
  <c r="G271" i="16"/>
  <c r="M271" i="16" s="1"/>
  <c r="S271" i="16" s="1"/>
  <c r="G272" i="16"/>
  <c r="G273" i="16"/>
  <c r="G274" i="16"/>
  <c r="G275" i="16"/>
  <c r="G276" i="16"/>
  <c r="G277" i="16"/>
  <c r="G278" i="16"/>
  <c r="G279" i="16"/>
  <c r="M279" i="16" s="1"/>
  <c r="S279" i="16" s="1"/>
  <c r="G280" i="16"/>
  <c r="G281" i="16"/>
  <c r="G282" i="16"/>
  <c r="G283" i="16"/>
  <c r="G284" i="16"/>
  <c r="G285" i="16"/>
  <c r="G286" i="16"/>
  <c r="G287" i="16"/>
  <c r="M287" i="16" s="1"/>
  <c r="S287" i="16" s="1"/>
  <c r="G288" i="16"/>
  <c r="G289" i="16"/>
  <c r="G290" i="16"/>
  <c r="G291" i="16"/>
  <c r="G292" i="16"/>
  <c r="G293" i="16"/>
  <c r="G294" i="16"/>
  <c r="G295" i="16"/>
  <c r="M295" i="16" s="1"/>
  <c r="S295" i="16" s="1"/>
  <c r="G296" i="16"/>
  <c r="G297" i="16"/>
  <c r="G298" i="16"/>
  <c r="G299" i="16"/>
  <c r="G300" i="16"/>
  <c r="G301" i="16"/>
  <c r="G302" i="16"/>
  <c r="G303" i="16"/>
  <c r="M303" i="16" s="1"/>
  <c r="S303" i="16" s="1"/>
  <c r="G304" i="16"/>
  <c r="G305" i="16"/>
  <c r="G306" i="16"/>
  <c r="G307" i="16"/>
  <c r="E151" i="16"/>
  <c r="E150"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02" i="16"/>
  <c r="E203" i="16"/>
  <c r="E204" i="16"/>
  <c r="E205" i="16"/>
  <c r="E206" i="16"/>
  <c r="E207" i="16"/>
  <c r="E208" i="16"/>
  <c r="E209" i="16"/>
  <c r="E210" i="16"/>
  <c r="E211" i="16"/>
  <c r="E212" i="16"/>
  <c r="E213" i="16"/>
  <c r="E214" i="16"/>
  <c r="E215" i="16"/>
  <c r="E216" i="16"/>
  <c r="E217" i="16"/>
  <c r="E218" i="16"/>
  <c r="E219" i="16"/>
  <c r="E220" i="16"/>
  <c r="E221" i="16"/>
  <c r="E222" i="16"/>
  <c r="E223" i="16"/>
  <c r="E224" i="16"/>
  <c r="E225" i="16"/>
  <c r="E226" i="16"/>
  <c r="E227" i="16"/>
  <c r="E228" i="16"/>
  <c r="E229" i="16"/>
  <c r="E230" i="16"/>
  <c r="E231" i="16"/>
  <c r="E232" i="16"/>
  <c r="E233" i="16"/>
  <c r="E234" i="16"/>
  <c r="E235" i="16"/>
  <c r="E236" i="16"/>
  <c r="E237" i="16"/>
  <c r="E238" i="16"/>
  <c r="E239" i="16"/>
  <c r="E240" i="16"/>
  <c r="E241" i="16"/>
  <c r="E242" i="16"/>
  <c r="E243" i="16"/>
  <c r="E244" i="16"/>
  <c r="E245" i="16"/>
  <c r="E246" i="16"/>
  <c r="E247" i="16"/>
  <c r="E248" i="16"/>
  <c r="E249" i="16"/>
  <c r="E250" i="16"/>
  <c r="E251" i="16"/>
  <c r="E252" i="16"/>
  <c r="E253" i="16"/>
  <c r="E254" i="16"/>
  <c r="E255" i="16"/>
  <c r="E256" i="16"/>
  <c r="E257" i="16"/>
  <c r="E258" i="16"/>
  <c r="E259" i="16"/>
  <c r="E260" i="16"/>
  <c r="E261" i="16"/>
  <c r="E262" i="16"/>
  <c r="E263" i="16"/>
  <c r="E264" i="16"/>
  <c r="E265" i="16"/>
  <c r="E266" i="16"/>
  <c r="E267" i="16"/>
  <c r="E268" i="16"/>
  <c r="E269" i="16"/>
  <c r="E270" i="16"/>
  <c r="E271" i="16"/>
  <c r="E272" i="16"/>
  <c r="E273" i="16"/>
  <c r="E274" i="16"/>
  <c r="E275" i="16"/>
  <c r="E276" i="16"/>
  <c r="E277" i="16"/>
  <c r="E278" i="16"/>
  <c r="E279" i="16"/>
  <c r="E280" i="16"/>
  <c r="E281" i="16"/>
  <c r="E282" i="16"/>
  <c r="E283" i="16"/>
  <c r="E284" i="16"/>
  <c r="E285" i="16"/>
  <c r="E286" i="16"/>
  <c r="E287" i="16"/>
  <c r="E288" i="16"/>
  <c r="E289" i="16"/>
  <c r="E290" i="16"/>
  <c r="E291" i="16"/>
  <c r="E292" i="16"/>
  <c r="E293" i="16"/>
  <c r="E294" i="16"/>
  <c r="E295" i="16"/>
  <c r="E296" i="16"/>
  <c r="E297" i="16"/>
  <c r="E298" i="16"/>
  <c r="E299" i="16"/>
  <c r="E300" i="16"/>
  <c r="E301" i="16"/>
  <c r="E302" i="16"/>
  <c r="E303" i="16"/>
  <c r="E304" i="16"/>
  <c r="E305" i="16"/>
  <c r="E306" i="16"/>
  <c r="E307" i="16"/>
  <c r="N307" i="16"/>
  <c r="T307" i="16" s="1"/>
  <c r="K307" i="16"/>
  <c r="Q307" i="16" s="1"/>
  <c r="O307" i="16"/>
  <c r="M307" i="16"/>
  <c r="S307" i="16" s="1"/>
  <c r="L307" i="16"/>
  <c r="R307" i="16" s="1"/>
  <c r="N306" i="16"/>
  <c r="T306" i="16" s="1"/>
  <c r="P306" i="16"/>
  <c r="O306" i="16"/>
  <c r="M306" i="16"/>
  <c r="S306" i="16" s="1"/>
  <c r="L306" i="16"/>
  <c r="R306" i="16" s="1"/>
  <c r="K306" i="16"/>
  <c r="Q306" i="16" s="1"/>
  <c r="N305" i="16"/>
  <c r="T305" i="16" s="1"/>
  <c r="M305" i="16"/>
  <c r="S305" i="16" s="1"/>
  <c r="P305" i="16"/>
  <c r="O305" i="16"/>
  <c r="L305" i="16"/>
  <c r="R305" i="16" s="1"/>
  <c r="K305" i="16"/>
  <c r="Q305" i="16" s="1"/>
  <c r="T304" i="16"/>
  <c r="N304" i="16"/>
  <c r="L304" i="16"/>
  <c r="R304" i="16" s="1"/>
  <c r="P304" i="16"/>
  <c r="O304" i="16"/>
  <c r="M304" i="16"/>
  <c r="S304" i="16" s="1"/>
  <c r="K304" i="16"/>
  <c r="Q304" i="16" s="1"/>
  <c r="T303" i="16"/>
  <c r="N303" i="16"/>
  <c r="K303" i="16"/>
  <c r="Q303" i="16" s="1"/>
  <c r="P303" i="16"/>
  <c r="O303" i="16"/>
  <c r="L303" i="16"/>
  <c r="R303" i="16" s="1"/>
  <c r="N302" i="16"/>
  <c r="T302" i="16" s="1"/>
  <c r="P302" i="16"/>
  <c r="O302" i="16"/>
  <c r="M302" i="16"/>
  <c r="S302" i="16" s="1"/>
  <c r="L302" i="16"/>
  <c r="R302" i="16" s="1"/>
  <c r="K302" i="16"/>
  <c r="Q302" i="16" s="1"/>
  <c r="N301" i="16"/>
  <c r="T301" i="16" s="1"/>
  <c r="M301" i="16"/>
  <c r="S301" i="16" s="1"/>
  <c r="P301" i="16"/>
  <c r="O301" i="16"/>
  <c r="L301" i="16"/>
  <c r="R301" i="16" s="1"/>
  <c r="K301" i="16"/>
  <c r="Q301" i="16" s="1"/>
  <c r="T300" i="16"/>
  <c r="N300" i="16"/>
  <c r="L300" i="16"/>
  <c r="R300" i="16" s="1"/>
  <c r="P300" i="16"/>
  <c r="O300" i="16"/>
  <c r="M300" i="16"/>
  <c r="S300" i="16" s="1"/>
  <c r="K300" i="16"/>
  <c r="Q300" i="16" s="1"/>
  <c r="T299" i="16"/>
  <c r="N299" i="16"/>
  <c r="K299" i="16"/>
  <c r="Q299" i="16" s="1"/>
  <c r="O299" i="16"/>
  <c r="M299" i="16"/>
  <c r="S299" i="16" s="1"/>
  <c r="L299" i="16"/>
  <c r="R299" i="16" s="1"/>
  <c r="N298" i="16"/>
  <c r="T298" i="16" s="1"/>
  <c r="P298" i="16"/>
  <c r="O298" i="16"/>
  <c r="M298" i="16"/>
  <c r="S298" i="16" s="1"/>
  <c r="L298" i="16"/>
  <c r="R298" i="16" s="1"/>
  <c r="K298" i="16"/>
  <c r="Q298" i="16" s="1"/>
  <c r="N297" i="16"/>
  <c r="T297" i="16" s="1"/>
  <c r="M297" i="16"/>
  <c r="S297" i="16" s="1"/>
  <c r="P297" i="16"/>
  <c r="O297" i="16"/>
  <c r="L297" i="16"/>
  <c r="R297" i="16" s="1"/>
  <c r="K297" i="16"/>
  <c r="Q297" i="16" s="1"/>
  <c r="T296" i="16"/>
  <c r="N296" i="16"/>
  <c r="L296" i="16"/>
  <c r="R296" i="16" s="1"/>
  <c r="P296" i="16"/>
  <c r="O296" i="16"/>
  <c r="M296" i="16"/>
  <c r="S296" i="16" s="1"/>
  <c r="K296" i="16"/>
  <c r="Q296" i="16" s="1"/>
  <c r="T295" i="16"/>
  <c r="N295" i="16"/>
  <c r="K295" i="16"/>
  <c r="Q295" i="16" s="1"/>
  <c r="O295" i="16"/>
  <c r="L295" i="16"/>
  <c r="R295" i="16" s="1"/>
  <c r="N294" i="16"/>
  <c r="T294" i="16" s="1"/>
  <c r="P294" i="16"/>
  <c r="O294" i="16"/>
  <c r="M294" i="16"/>
  <c r="S294" i="16" s="1"/>
  <c r="L294" i="16"/>
  <c r="R294" i="16" s="1"/>
  <c r="K294" i="16"/>
  <c r="Q294" i="16" s="1"/>
  <c r="N293" i="16"/>
  <c r="T293" i="16" s="1"/>
  <c r="M293" i="16"/>
  <c r="S293" i="16" s="1"/>
  <c r="P293" i="16"/>
  <c r="O293" i="16"/>
  <c r="L293" i="16"/>
  <c r="R293" i="16" s="1"/>
  <c r="K293" i="16"/>
  <c r="Q293" i="16" s="1"/>
  <c r="T292" i="16"/>
  <c r="N292" i="16"/>
  <c r="L292" i="16"/>
  <c r="R292" i="16" s="1"/>
  <c r="P292" i="16"/>
  <c r="O292" i="16"/>
  <c r="M292" i="16"/>
  <c r="S292" i="16" s="1"/>
  <c r="K292" i="16"/>
  <c r="Q292" i="16" s="1"/>
  <c r="T291" i="16"/>
  <c r="N291" i="16"/>
  <c r="K291" i="16"/>
  <c r="Q291" i="16" s="1"/>
  <c r="P291" i="16"/>
  <c r="O291" i="16"/>
  <c r="M291" i="16"/>
  <c r="S291" i="16" s="1"/>
  <c r="L291" i="16"/>
  <c r="R291" i="16" s="1"/>
  <c r="N290" i="16"/>
  <c r="T290" i="16" s="1"/>
  <c r="P290" i="16"/>
  <c r="O290" i="16"/>
  <c r="M290" i="16"/>
  <c r="S290" i="16" s="1"/>
  <c r="L290" i="16"/>
  <c r="R290" i="16" s="1"/>
  <c r="K290" i="16"/>
  <c r="Q290" i="16" s="1"/>
  <c r="N289" i="16"/>
  <c r="T289" i="16" s="1"/>
  <c r="M289" i="16"/>
  <c r="S289" i="16" s="1"/>
  <c r="P289" i="16"/>
  <c r="O289" i="16"/>
  <c r="L289" i="16"/>
  <c r="R289" i="16" s="1"/>
  <c r="K289" i="16"/>
  <c r="Q289" i="16" s="1"/>
  <c r="T288" i="16"/>
  <c r="N288" i="16"/>
  <c r="L288" i="16"/>
  <c r="R288" i="16" s="1"/>
  <c r="P288" i="16"/>
  <c r="O288" i="16"/>
  <c r="M288" i="16"/>
  <c r="S288" i="16" s="1"/>
  <c r="K288" i="16"/>
  <c r="Q288" i="16" s="1"/>
  <c r="T287" i="16"/>
  <c r="N287" i="16"/>
  <c r="K287" i="16"/>
  <c r="Q287" i="16" s="1"/>
  <c r="O287" i="16"/>
  <c r="L287" i="16"/>
  <c r="R287" i="16" s="1"/>
  <c r="N286" i="16"/>
  <c r="T286" i="16" s="1"/>
  <c r="P286" i="16"/>
  <c r="O286" i="16"/>
  <c r="M286" i="16"/>
  <c r="S286" i="16" s="1"/>
  <c r="L286" i="16"/>
  <c r="R286" i="16" s="1"/>
  <c r="K286" i="16"/>
  <c r="Q286" i="16" s="1"/>
  <c r="N285" i="16"/>
  <c r="T285" i="16" s="1"/>
  <c r="M285" i="16"/>
  <c r="S285" i="16" s="1"/>
  <c r="P285" i="16"/>
  <c r="O285" i="16"/>
  <c r="L285" i="16"/>
  <c r="R285" i="16" s="1"/>
  <c r="K285" i="16"/>
  <c r="Q285" i="16" s="1"/>
  <c r="T284" i="16"/>
  <c r="N284" i="16"/>
  <c r="L284" i="16"/>
  <c r="R284" i="16" s="1"/>
  <c r="P284" i="16"/>
  <c r="O284" i="16"/>
  <c r="M284" i="16"/>
  <c r="S284" i="16" s="1"/>
  <c r="K284" i="16"/>
  <c r="Q284" i="16" s="1"/>
  <c r="T283" i="16"/>
  <c r="N283" i="16"/>
  <c r="K283" i="16"/>
  <c r="Q283" i="16" s="1"/>
  <c r="O283" i="16"/>
  <c r="M283" i="16"/>
  <c r="S283" i="16" s="1"/>
  <c r="L283" i="16"/>
  <c r="R283" i="16" s="1"/>
  <c r="N282" i="16"/>
  <c r="T282" i="16" s="1"/>
  <c r="P282" i="16"/>
  <c r="O282" i="16"/>
  <c r="M282" i="16"/>
  <c r="S282" i="16" s="1"/>
  <c r="L282" i="16"/>
  <c r="R282" i="16" s="1"/>
  <c r="K282" i="16"/>
  <c r="Q282" i="16" s="1"/>
  <c r="N281" i="16"/>
  <c r="T281" i="16" s="1"/>
  <c r="M281" i="16"/>
  <c r="S281" i="16" s="1"/>
  <c r="P281" i="16"/>
  <c r="O281" i="16"/>
  <c r="L281" i="16"/>
  <c r="R281" i="16" s="1"/>
  <c r="K281" i="16"/>
  <c r="Q281" i="16" s="1"/>
  <c r="T280" i="16"/>
  <c r="N280" i="16"/>
  <c r="L280" i="16"/>
  <c r="R280" i="16" s="1"/>
  <c r="P280" i="16"/>
  <c r="O280" i="16"/>
  <c r="M280" i="16"/>
  <c r="S280" i="16" s="1"/>
  <c r="K280" i="16"/>
  <c r="Q280" i="16" s="1"/>
  <c r="T279" i="16"/>
  <c r="N279" i="16"/>
  <c r="K279" i="16"/>
  <c r="Q279" i="16" s="1"/>
  <c r="O279" i="16"/>
  <c r="L279" i="16"/>
  <c r="R279" i="16" s="1"/>
  <c r="N278" i="16"/>
  <c r="T278" i="16" s="1"/>
  <c r="P278" i="16"/>
  <c r="O278" i="16"/>
  <c r="M278" i="16"/>
  <c r="S278" i="16" s="1"/>
  <c r="L278" i="16"/>
  <c r="R278" i="16" s="1"/>
  <c r="K278" i="16"/>
  <c r="Q278" i="16" s="1"/>
  <c r="N277" i="16"/>
  <c r="T277" i="16" s="1"/>
  <c r="M277" i="16"/>
  <c r="S277" i="16" s="1"/>
  <c r="P277" i="16"/>
  <c r="O277" i="16"/>
  <c r="L277" i="16"/>
  <c r="R277" i="16" s="1"/>
  <c r="K277" i="16"/>
  <c r="Q277" i="16" s="1"/>
  <c r="T276" i="16"/>
  <c r="N276" i="16"/>
  <c r="L276" i="16"/>
  <c r="R276" i="16" s="1"/>
  <c r="P276" i="16"/>
  <c r="O276" i="16"/>
  <c r="M276" i="16"/>
  <c r="S276" i="16" s="1"/>
  <c r="K276" i="16"/>
  <c r="Q276" i="16" s="1"/>
  <c r="T275" i="16"/>
  <c r="N275" i="16"/>
  <c r="K275" i="16"/>
  <c r="Q275" i="16" s="1"/>
  <c r="O275" i="16"/>
  <c r="M275" i="16"/>
  <c r="S275" i="16" s="1"/>
  <c r="L275" i="16"/>
  <c r="R275" i="16" s="1"/>
  <c r="N274" i="16"/>
  <c r="T274" i="16" s="1"/>
  <c r="P274" i="16"/>
  <c r="O274" i="16"/>
  <c r="M274" i="16"/>
  <c r="S274" i="16" s="1"/>
  <c r="L274" i="16"/>
  <c r="R274" i="16" s="1"/>
  <c r="K274" i="16"/>
  <c r="Q274" i="16" s="1"/>
  <c r="N273" i="16"/>
  <c r="T273" i="16" s="1"/>
  <c r="M273" i="16"/>
  <c r="S273" i="16" s="1"/>
  <c r="P273" i="16"/>
  <c r="O273" i="16"/>
  <c r="L273" i="16"/>
  <c r="R273" i="16" s="1"/>
  <c r="K273" i="16"/>
  <c r="Q273" i="16" s="1"/>
  <c r="T272" i="16"/>
  <c r="N272" i="16"/>
  <c r="L272" i="16"/>
  <c r="R272" i="16" s="1"/>
  <c r="P272" i="16"/>
  <c r="O272" i="16"/>
  <c r="M272" i="16"/>
  <c r="S272" i="16" s="1"/>
  <c r="K272" i="16"/>
  <c r="Q272" i="16" s="1"/>
  <c r="N271" i="16"/>
  <c r="T271" i="16" s="1"/>
  <c r="O271" i="16"/>
  <c r="L271" i="16"/>
  <c r="R271" i="16" s="1"/>
  <c r="K271" i="16"/>
  <c r="Q271" i="16" s="1"/>
  <c r="T270" i="16"/>
  <c r="N270" i="16"/>
  <c r="L270" i="16"/>
  <c r="R270" i="16" s="1"/>
  <c r="P270" i="16"/>
  <c r="O270" i="16"/>
  <c r="M270" i="16"/>
  <c r="S270" i="16" s="1"/>
  <c r="K270" i="16"/>
  <c r="Q270" i="16" s="1"/>
  <c r="T269" i="16"/>
  <c r="N269" i="16"/>
  <c r="K269" i="16"/>
  <c r="Q269" i="16" s="1"/>
  <c r="P269" i="16"/>
  <c r="O269" i="16"/>
  <c r="M269" i="16"/>
  <c r="S269" i="16" s="1"/>
  <c r="L269" i="16"/>
  <c r="R269" i="16" s="1"/>
  <c r="N268" i="16"/>
  <c r="T268" i="16" s="1"/>
  <c r="P268" i="16"/>
  <c r="O268" i="16"/>
  <c r="M268" i="16"/>
  <c r="S268" i="16" s="1"/>
  <c r="L268" i="16"/>
  <c r="R268" i="16" s="1"/>
  <c r="K268" i="16"/>
  <c r="Q268" i="16" s="1"/>
  <c r="N267" i="16"/>
  <c r="T267" i="16" s="1"/>
  <c r="M267" i="16"/>
  <c r="S267" i="16" s="1"/>
  <c r="P267" i="16"/>
  <c r="O267" i="16"/>
  <c r="L267" i="16"/>
  <c r="R267" i="16" s="1"/>
  <c r="K267" i="16"/>
  <c r="Q267" i="16" s="1"/>
  <c r="T266" i="16"/>
  <c r="N266" i="16"/>
  <c r="L266" i="16"/>
  <c r="R266" i="16" s="1"/>
  <c r="P266" i="16"/>
  <c r="O266" i="16"/>
  <c r="M266" i="16"/>
  <c r="S266" i="16" s="1"/>
  <c r="K266" i="16"/>
  <c r="Q266" i="16" s="1"/>
  <c r="T265" i="16"/>
  <c r="N265" i="16"/>
  <c r="K265" i="16"/>
  <c r="Q265" i="16" s="1"/>
  <c r="P265" i="16"/>
  <c r="O265" i="16"/>
  <c r="M265" i="16"/>
  <c r="S265" i="16" s="1"/>
  <c r="L265" i="16"/>
  <c r="R265" i="16" s="1"/>
  <c r="N264" i="16"/>
  <c r="T264" i="16" s="1"/>
  <c r="P264" i="16"/>
  <c r="O264" i="16"/>
  <c r="M264" i="16"/>
  <c r="S264" i="16" s="1"/>
  <c r="L264" i="16"/>
  <c r="R264" i="16" s="1"/>
  <c r="K264" i="16"/>
  <c r="Q264" i="16" s="1"/>
  <c r="N263" i="16"/>
  <c r="T263" i="16" s="1"/>
  <c r="O263" i="16"/>
  <c r="L263" i="16"/>
  <c r="R263" i="16" s="1"/>
  <c r="K263" i="16"/>
  <c r="Q263" i="16" s="1"/>
  <c r="T262" i="16"/>
  <c r="N262" i="16"/>
  <c r="L262" i="16"/>
  <c r="R262" i="16" s="1"/>
  <c r="P262" i="16"/>
  <c r="O262" i="16"/>
  <c r="M262" i="16"/>
  <c r="S262" i="16" s="1"/>
  <c r="K262" i="16"/>
  <c r="Q262" i="16" s="1"/>
  <c r="T261" i="16"/>
  <c r="N261" i="16"/>
  <c r="K261" i="16"/>
  <c r="Q261" i="16" s="1"/>
  <c r="P261" i="16"/>
  <c r="O261" i="16"/>
  <c r="M261" i="16"/>
  <c r="S261" i="16" s="1"/>
  <c r="L261" i="16"/>
  <c r="R261" i="16" s="1"/>
  <c r="N260" i="16"/>
  <c r="T260" i="16" s="1"/>
  <c r="P260" i="16"/>
  <c r="O260" i="16"/>
  <c r="M260" i="16"/>
  <c r="S260" i="16" s="1"/>
  <c r="L260" i="16"/>
  <c r="R260" i="16" s="1"/>
  <c r="K260" i="16"/>
  <c r="Q260" i="16" s="1"/>
  <c r="N259" i="16"/>
  <c r="T259" i="16" s="1"/>
  <c r="M259" i="16"/>
  <c r="S259" i="16" s="1"/>
  <c r="P259" i="16"/>
  <c r="O259" i="16"/>
  <c r="L259" i="16"/>
  <c r="R259" i="16" s="1"/>
  <c r="K259" i="16"/>
  <c r="Q259" i="16" s="1"/>
  <c r="T258" i="16"/>
  <c r="N258" i="16"/>
  <c r="L258" i="16"/>
  <c r="R258" i="16" s="1"/>
  <c r="P258" i="16"/>
  <c r="O258" i="16"/>
  <c r="M258" i="16"/>
  <c r="S258" i="16" s="1"/>
  <c r="K258" i="16"/>
  <c r="Q258" i="16" s="1"/>
  <c r="T257" i="16"/>
  <c r="N257" i="16"/>
  <c r="K257" i="16"/>
  <c r="Q257" i="16" s="1"/>
  <c r="P257" i="16"/>
  <c r="O257" i="16"/>
  <c r="M257" i="16"/>
  <c r="S257" i="16" s="1"/>
  <c r="L257" i="16"/>
  <c r="R257" i="16" s="1"/>
  <c r="N256" i="16"/>
  <c r="T256" i="16" s="1"/>
  <c r="P256" i="16"/>
  <c r="O256" i="16"/>
  <c r="M256" i="16"/>
  <c r="S256" i="16" s="1"/>
  <c r="L256" i="16"/>
  <c r="R256" i="16" s="1"/>
  <c r="K256" i="16"/>
  <c r="Q256" i="16" s="1"/>
  <c r="N255" i="16"/>
  <c r="T255" i="16" s="1"/>
  <c r="P255" i="16"/>
  <c r="O255" i="16"/>
  <c r="L255" i="16"/>
  <c r="R255" i="16" s="1"/>
  <c r="K255" i="16"/>
  <c r="Q255" i="16" s="1"/>
  <c r="T254" i="16"/>
  <c r="N254" i="16"/>
  <c r="L254" i="16"/>
  <c r="R254" i="16" s="1"/>
  <c r="P254" i="16"/>
  <c r="O254" i="16"/>
  <c r="M254" i="16"/>
  <c r="S254" i="16" s="1"/>
  <c r="K254" i="16"/>
  <c r="Q254" i="16" s="1"/>
  <c r="T253" i="16"/>
  <c r="N253" i="16"/>
  <c r="K253" i="16"/>
  <c r="Q253" i="16" s="1"/>
  <c r="P253" i="16"/>
  <c r="O253" i="16"/>
  <c r="M253" i="16"/>
  <c r="S253" i="16" s="1"/>
  <c r="L253" i="16"/>
  <c r="R253" i="16" s="1"/>
  <c r="N252" i="16"/>
  <c r="T252" i="16" s="1"/>
  <c r="P252" i="16"/>
  <c r="O252" i="16"/>
  <c r="M252" i="16"/>
  <c r="S252" i="16" s="1"/>
  <c r="L252" i="16"/>
  <c r="R252" i="16" s="1"/>
  <c r="K252" i="16"/>
  <c r="Q252" i="16" s="1"/>
  <c r="N251" i="16"/>
  <c r="T251" i="16" s="1"/>
  <c r="M251" i="16"/>
  <c r="S251" i="16" s="1"/>
  <c r="P251" i="16"/>
  <c r="O251" i="16"/>
  <c r="L251" i="16"/>
  <c r="R251" i="16" s="1"/>
  <c r="K251" i="16"/>
  <c r="Q251" i="16" s="1"/>
  <c r="T250" i="16"/>
  <c r="N250" i="16"/>
  <c r="L250" i="16"/>
  <c r="R250" i="16" s="1"/>
  <c r="P250" i="16"/>
  <c r="O250" i="16"/>
  <c r="M250" i="16"/>
  <c r="S250" i="16" s="1"/>
  <c r="K250" i="16"/>
  <c r="Q250" i="16" s="1"/>
  <c r="T249" i="16"/>
  <c r="N249" i="16"/>
  <c r="K249" i="16"/>
  <c r="Q249" i="16" s="1"/>
  <c r="P249" i="16"/>
  <c r="O249" i="16"/>
  <c r="M249" i="16"/>
  <c r="S249" i="16" s="1"/>
  <c r="L249" i="16"/>
  <c r="R249" i="16" s="1"/>
  <c r="N248" i="16"/>
  <c r="T248" i="16" s="1"/>
  <c r="P248" i="16"/>
  <c r="O248" i="16"/>
  <c r="M248" i="16"/>
  <c r="S248" i="16" s="1"/>
  <c r="L248" i="16"/>
  <c r="R248" i="16" s="1"/>
  <c r="K248" i="16"/>
  <c r="Q248" i="16" s="1"/>
  <c r="N247" i="16"/>
  <c r="T247" i="16" s="1"/>
  <c r="P247" i="16"/>
  <c r="O247" i="16"/>
  <c r="L247" i="16"/>
  <c r="R247" i="16" s="1"/>
  <c r="K247" i="16"/>
  <c r="Q247" i="16" s="1"/>
  <c r="T246" i="16"/>
  <c r="N246" i="16"/>
  <c r="L246" i="16"/>
  <c r="R246" i="16" s="1"/>
  <c r="P246" i="16"/>
  <c r="O246" i="16"/>
  <c r="M246" i="16"/>
  <c r="S246" i="16" s="1"/>
  <c r="K246" i="16"/>
  <c r="Q246" i="16" s="1"/>
  <c r="T245" i="16"/>
  <c r="N245" i="16"/>
  <c r="K245" i="16"/>
  <c r="Q245" i="16" s="1"/>
  <c r="P245" i="16"/>
  <c r="O245" i="16"/>
  <c r="M245" i="16"/>
  <c r="S245" i="16" s="1"/>
  <c r="L245" i="16"/>
  <c r="R245" i="16" s="1"/>
  <c r="N244" i="16"/>
  <c r="T244" i="16" s="1"/>
  <c r="P244" i="16"/>
  <c r="O244" i="16"/>
  <c r="M244" i="16"/>
  <c r="S244" i="16" s="1"/>
  <c r="L244" i="16"/>
  <c r="R244" i="16" s="1"/>
  <c r="K244" i="16"/>
  <c r="Q244" i="16" s="1"/>
  <c r="N243" i="16"/>
  <c r="T243" i="16" s="1"/>
  <c r="M243" i="16"/>
  <c r="S243" i="16" s="1"/>
  <c r="P243" i="16"/>
  <c r="O243" i="16"/>
  <c r="L243" i="16"/>
  <c r="R243" i="16" s="1"/>
  <c r="K243" i="16"/>
  <c r="Q243" i="16" s="1"/>
  <c r="T242" i="16"/>
  <c r="N242" i="16"/>
  <c r="L242" i="16"/>
  <c r="R242" i="16" s="1"/>
  <c r="P242" i="16"/>
  <c r="O242" i="16"/>
  <c r="M242" i="16"/>
  <c r="S242" i="16" s="1"/>
  <c r="K242" i="16"/>
  <c r="Q242" i="16" s="1"/>
  <c r="T241" i="16"/>
  <c r="N241" i="16"/>
  <c r="K241" i="16"/>
  <c r="Q241" i="16" s="1"/>
  <c r="P241" i="16"/>
  <c r="O241" i="16"/>
  <c r="M241" i="16"/>
  <c r="S241" i="16" s="1"/>
  <c r="L241" i="16"/>
  <c r="R241" i="16" s="1"/>
  <c r="N240" i="16"/>
  <c r="T240" i="16" s="1"/>
  <c r="P240" i="16"/>
  <c r="O240" i="16"/>
  <c r="M240" i="16"/>
  <c r="S240" i="16" s="1"/>
  <c r="L240" i="16"/>
  <c r="R240" i="16" s="1"/>
  <c r="K240" i="16"/>
  <c r="Q240" i="16" s="1"/>
  <c r="R239" i="16"/>
  <c r="Q239" i="16"/>
  <c r="N239" i="16"/>
  <c r="T239" i="16" s="1"/>
  <c r="M239" i="16"/>
  <c r="S239" i="16" s="1"/>
  <c r="P239" i="16"/>
  <c r="O239" i="16"/>
  <c r="L239" i="16"/>
  <c r="K239" i="16"/>
  <c r="T238" i="16"/>
  <c r="N238" i="16"/>
  <c r="L238" i="16"/>
  <c r="R238" i="16" s="1"/>
  <c r="P238" i="16"/>
  <c r="O238" i="16"/>
  <c r="M238" i="16"/>
  <c r="S238" i="16" s="1"/>
  <c r="K238" i="16"/>
  <c r="Q238" i="16" s="1"/>
  <c r="T237" i="16"/>
  <c r="N237" i="16"/>
  <c r="L237" i="16"/>
  <c r="R237" i="16" s="1"/>
  <c r="K237" i="16"/>
  <c r="Q237" i="16" s="1"/>
  <c r="P237" i="16"/>
  <c r="O237" i="16"/>
  <c r="M237" i="16"/>
  <c r="S237" i="16" s="1"/>
  <c r="N236" i="16"/>
  <c r="T236" i="16" s="1"/>
  <c r="P236" i="16"/>
  <c r="O236" i="16"/>
  <c r="M236" i="16"/>
  <c r="S236" i="16" s="1"/>
  <c r="L236" i="16"/>
  <c r="R236" i="16" s="1"/>
  <c r="K236" i="16"/>
  <c r="Q236" i="16" s="1"/>
  <c r="N235" i="16"/>
  <c r="T235" i="16" s="1"/>
  <c r="P235" i="16"/>
  <c r="O235" i="16"/>
  <c r="L235" i="16"/>
  <c r="R235" i="16" s="1"/>
  <c r="K235" i="16"/>
  <c r="Q235" i="16" s="1"/>
  <c r="R234" i="16"/>
  <c r="N234" i="16"/>
  <c r="T234" i="16" s="1"/>
  <c r="P234" i="16"/>
  <c r="O234" i="16"/>
  <c r="M234" i="16"/>
  <c r="S234" i="16" s="1"/>
  <c r="L234" i="16"/>
  <c r="K234" i="16"/>
  <c r="Q234" i="16" s="1"/>
  <c r="N233" i="16"/>
  <c r="T233" i="16" s="1"/>
  <c r="M233" i="16"/>
  <c r="S233" i="16" s="1"/>
  <c r="P233" i="16"/>
  <c r="O233" i="16"/>
  <c r="L233" i="16"/>
  <c r="R233" i="16" s="1"/>
  <c r="K233" i="16"/>
  <c r="Q233" i="16" s="1"/>
  <c r="T232" i="16"/>
  <c r="N232" i="16"/>
  <c r="L232" i="16"/>
  <c r="R232" i="16" s="1"/>
  <c r="P232" i="16"/>
  <c r="O232" i="16"/>
  <c r="M232" i="16"/>
  <c r="S232" i="16" s="1"/>
  <c r="K232" i="16"/>
  <c r="Q232" i="16" s="1"/>
  <c r="T231" i="16"/>
  <c r="N231" i="16"/>
  <c r="K231" i="16"/>
  <c r="Q231" i="16" s="1"/>
  <c r="P231" i="16"/>
  <c r="O231" i="16"/>
  <c r="L231" i="16"/>
  <c r="R231" i="16" s="1"/>
  <c r="N230" i="16"/>
  <c r="T230" i="16" s="1"/>
  <c r="P230" i="16"/>
  <c r="O230" i="16"/>
  <c r="M230" i="16"/>
  <c r="S230" i="16" s="1"/>
  <c r="L230" i="16"/>
  <c r="R230" i="16" s="1"/>
  <c r="K230" i="16"/>
  <c r="Q230" i="16" s="1"/>
  <c r="N229" i="16"/>
  <c r="T229" i="16" s="1"/>
  <c r="M229" i="16"/>
  <c r="S229" i="16" s="1"/>
  <c r="P229" i="16"/>
  <c r="O229" i="16"/>
  <c r="L229" i="16"/>
  <c r="R229" i="16" s="1"/>
  <c r="K229" i="16"/>
  <c r="Q229" i="16" s="1"/>
  <c r="T228" i="16"/>
  <c r="N228" i="16"/>
  <c r="L228" i="16"/>
  <c r="R228" i="16" s="1"/>
  <c r="P228" i="16"/>
  <c r="O228" i="16"/>
  <c r="M228" i="16"/>
  <c r="S228" i="16" s="1"/>
  <c r="K228" i="16"/>
  <c r="Q228" i="16" s="1"/>
  <c r="T227" i="16"/>
  <c r="N227" i="16"/>
  <c r="K227" i="16"/>
  <c r="Q227" i="16" s="1"/>
  <c r="P227" i="16"/>
  <c r="O227" i="16"/>
  <c r="M227" i="16"/>
  <c r="S227" i="16" s="1"/>
  <c r="L227" i="16"/>
  <c r="R227" i="16" s="1"/>
  <c r="N226" i="16"/>
  <c r="T226" i="16" s="1"/>
  <c r="P226" i="16"/>
  <c r="O226" i="16"/>
  <c r="M226" i="16"/>
  <c r="S226" i="16" s="1"/>
  <c r="L226" i="16"/>
  <c r="R226" i="16" s="1"/>
  <c r="K226" i="16"/>
  <c r="Q226" i="16" s="1"/>
  <c r="Q225" i="16"/>
  <c r="N225" i="16"/>
  <c r="T225" i="16" s="1"/>
  <c r="M225" i="16"/>
  <c r="S225" i="16" s="1"/>
  <c r="P225" i="16"/>
  <c r="O225" i="16"/>
  <c r="L225" i="16"/>
  <c r="R225" i="16" s="1"/>
  <c r="K225" i="16"/>
  <c r="T224" i="16"/>
  <c r="N224" i="16"/>
  <c r="L224" i="16"/>
  <c r="R224" i="16" s="1"/>
  <c r="P224" i="16"/>
  <c r="O224" i="16"/>
  <c r="M224" i="16"/>
  <c r="S224" i="16" s="1"/>
  <c r="K224" i="16"/>
  <c r="Q224" i="16" s="1"/>
  <c r="T223" i="16"/>
  <c r="N223" i="16"/>
  <c r="K223" i="16"/>
  <c r="Q223" i="16" s="1"/>
  <c r="P223" i="16"/>
  <c r="O223" i="16"/>
  <c r="M223" i="16"/>
  <c r="S223" i="16" s="1"/>
  <c r="L223" i="16"/>
  <c r="R223" i="16" s="1"/>
  <c r="R222" i="16"/>
  <c r="N222" i="16"/>
  <c r="T222" i="16" s="1"/>
  <c r="P222" i="16"/>
  <c r="O222" i="16"/>
  <c r="M222" i="16"/>
  <c r="S222" i="16" s="1"/>
  <c r="L222" i="16"/>
  <c r="K222" i="16"/>
  <c r="Q222" i="16" s="1"/>
  <c r="Q221" i="16"/>
  <c r="N221" i="16"/>
  <c r="T221" i="16" s="1"/>
  <c r="M221" i="16"/>
  <c r="S221" i="16" s="1"/>
  <c r="P221" i="16"/>
  <c r="O221" i="16"/>
  <c r="L221" i="16"/>
  <c r="R221" i="16" s="1"/>
  <c r="K221" i="16"/>
  <c r="T220" i="16"/>
  <c r="N220" i="16"/>
  <c r="L220" i="16"/>
  <c r="R220" i="16" s="1"/>
  <c r="P220" i="16"/>
  <c r="O220" i="16"/>
  <c r="M220" i="16"/>
  <c r="S220" i="16" s="1"/>
  <c r="K220" i="16"/>
  <c r="Q220" i="16" s="1"/>
  <c r="T219" i="16"/>
  <c r="N219" i="16"/>
  <c r="K219" i="16"/>
  <c r="Q219" i="16" s="1"/>
  <c r="P219" i="16"/>
  <c r="O219" i="16"/>
  <c r="M219" i="16"/>
  <c r="S219" i="16" s="1"/>
  <c r="L219" i="16"/>
  <c r="R219" i="16" s="1"/>
  <c r="R218" i="16"/>
  <c r="N218" i="16"/>
  <c r="T218" i="16" s="1"/>
  <c r="P218" i="16"/>
  <c r="O218" i="16"/>
  <c r="M218" i="16"/>
  <c r="S218" i="16" s="1"/>
  <c r="L218" i="16"/>
  <c r="K218" i="16"/>
  <c r="Q218" i="16" s="1"/>
  <c r="N217" i="16"/>
  <c r="T217" i="16" s="1"/>
  <c r="M217" i="16"/>
  <c r="S217" i="16" s="1"/>
  <c r="P217" i="16"/>
  <c r="O217" i="16"/>
  <c r="L217" i="16"/>
  <c r="R217" i="16" s="1"/>
  <c r="K217" i="16"/>
  <c r="Q217" i="16" s="1"/>
  <c r="T216" i="16"/>
  <c r="N216" i="16"/>
  <c r="L216" i="16"/>
  <c r="R216" i="16" s="1"/>
  <c r="P216" i="16"/>
  <c r="O216" i="16"/>
  <c r="M216" i="16"/>
  <c r="S216" i="16" s="1"/>
  <c r="K216" i="16"/>
  <c r="Q216" i="16" s="1"/>
  <c r="T215" i="16"/>
  <c r="N215" i="16"/>
  <c r="K215" i="16"/>
  <c r="Q215" i="16" s="1"/>
  <c r="P215" i="16"/>
  <c r="O215" i="16"/>
  <c r="L215" i="16"/>
  <c r="R215" i="16" s="1"/>
  <c r="N214" i="16"/>
  <c r="T214" i="16" s="1"/>
  <c r="P214" i="16"/>
  <c r="O214" i="16"/>
  <c r="M214" i="16"/>
  <c r="S214" i="16" s="1"/>
  <c r="L214" i="16"/>
  <c r="R214" i="16" s="1"/>
  <c r="K214" i="16"/>
  <c r="Q214" i="16" s="1"/>
  <c r="N213" i="16"/>
  <c r="T213" i="16" s="1"/>
  <c r="M213" i="16"/>
  <c r="S213" i="16" s="1"/>
  <c r="P213" i="16"/>
  <c r="O213" i="16"/>
  <c r="L213" i="16"/>
  <c r="R213" i="16" s="1"/>
  <c r="K213" i="16"/>
  <c r="Q213" i="16" s="1"/>
  <c r="T212" i="16"/>
  <c r="N212" i="16"/>
  <c r="L212" i="16"/>
  <c r="R212" i="16" s="1"/>
  <c r="P212" i="16"/>
  <c r="O212" i="16"/>
  <c r="M212" i="16"/>
  <c r="S212" i="16" s="1"/>
  <c r="K212" i="16"/>
  <c r="Q212" i="16" s="1"/>
  <c r="T211" i="16"/>
  <c r="N211" i="16"/>
  <c r="K211" i="16"/>
  <c r="Q211" i="16" s="1"/>
  <c r="P211" i="16"/>
  <c r="O211" i="16"/>
  <c r="L211" i="16"/>
  <c r="R211" i="16" s="1"/>
  <c r="N210" i="16"/>
  <c r="T210" i="16" s="1"/>
  <c r="P210" i="16"/>
  <c r="O210" i="16"/>
  <c r="M210" i="16"/>
  <c r="S210" i="16" s="1"/>
  <c r="L210" i="16"/>
  <c r="R210" i="16" s="1"/>
  <c r="K210" i="16"/>
  <c r="Q210" i="16" s="1"/>
  <c r="Q209" i="16"/>
  <c r="N209" i="16"/>
  <c r="T209" i="16" s="1"/>
  <c r="M209" i="16"/>
  <c r="S209" i="16" s="1"/>
  <c r="P209" i="16"/>
  <c r="O209" i="16"/>
  <c r="L209" i="16"/>
  <c r="R209" i="16" s="1"/>
  <c r="K209" i="16"/>
  <c r="T208" i="16"/>
  <c r="N208" i="16"/>
  <c r="L208" i="16"/>
  <c r="R208" i="16" s="1"/>
  <c r="P208" i="16"/>
  <c r="O208" i="16"/>
  <c r="M208" i="16"/>
  <c r="S208" i="16" s="1"/>
  <c r="K208" i="16"/>
  <c r="Q208" i="16" s="1"/>
  <c r="T207" i="16"/>
  <c r="N207" i="16"/>
  <c r="K207" i="16"/>
  <c r="Q207" i="16" s="1"/>
  <c r="P207" i="16"/>
  <c r="O207" i="16"/>
  <c r="L207" i="16"/>
  <c r="R207" i="16" s="1"/>
  <c r="N206" i="16"/>
  <c r="T206" i="16" s="1"/>
  <c r="K206" i="16"/>
  <c r="Q206" i="16" s="1"/>
  <c r="P206" i="16"/>
  <c r="O206" i="16"/>
  <c r="M206" i="16"/>
  <c r="S206" i="16" s="1"/>
  <c r="L206" i="16"/>
  <c r="R206" i="16" s="1"/>
  <c r="N205" i="16"/>
  <c r="T205" i="16" s="1"/>
  <c r="M205" i="16"/>
  <c r="S205" i="16" s="1"/>
  <c r="K205" i="16"/>
  <c r="Q205" i="16" s="1"/>
  <c r="P205" i="16"/>
  <c r="O205" i="16"/>
  <c r="L205" i="16"/>
  <c r="R205" i="16" s="1"/>
  <c r="N204" i="16"/>
  <c r="T204" i="16" s="1"/>
  <c r="L204" i="16"/>
  <c r="R204" i="16" s="1"/>
  <c r="P204" i="16"/>
  <c r="O204" i="16"/>
  <c r="M204" i="16"/>
  <c r="S204" i="16" s="1"/>
  <c r="K204" i="16"/>
  <c r="Q204" i="16" s="1"/>
  <c r="T203" i="16"/>
  <c r="N203" i="16"/>
  <c r="K203" i="16"/>
  <c r="Q203" i="16" s="1"/>
  <c r="P203" i="16"/>
  <c r="O203" i="16"/>
  <c r="L203" i="16"/>
  <c r="R203" i="16" s="1"/>
  <c r="T202" i="16"/>
  <c r="N202" i="16"/>
  <c r="L202" i="16"/>
  <c r="R202" i="16" s="1"/>
  <c r="P202" i="16"/>
  <c r="O202" i="16"/>
  <c r="M202" i="16"/>
  <c r="S202" i="16" s="1"/>
  <c r="K202" i="16"/>
  <c r="Q202" i="16" s="1"/>
  <c r="R201" i="16"/>
  <c r="N201" i="16"/>
  <c r="T201" i="16" s="1"/>
  <c r="M201" i="16"/>
  <c r="S201" i="16" s="1"/>
  <c r="P201" i="16"/>
  <c r="O201" i="16"/>
  <c r="L201" i="16"/>
  <c r="K201" i="16"/>
  <c r="Q201" i="16" s="1"/>
  <c r="R200" i="16"/>
  <c r="N200" i="16"/>
  <c r="T200" i="16" s="1"/>
  <c r="L200" i="16"/>
  <c r="P200" i="16"/>
  <c r="O200" i="16"/>
  <c r="M200" i="16"/>
  <c r="S200" i="16" s="1"/>
  <c r="K200" i="16"/>
  <c r="Q200" i="16" s="1"/>
  <c r="T199" i="16"/>
  <c r="N199" i="16"/>
  <c r="L199" i="16"/>
  <c r="R199" i="16" s="1"/>
  <c r="K199" i="16"/>
  <c r="Q199" i="16" s="1"/>
  <c r="P199" i="16"/>
  <c r="O199" i="16"/>
  <c r="N198" i="16"/>
  <c r="T198" i="16" s="1"/>
  <c r="K198" i="16"/>
  <c r="Q198" i="16" s="1"/>
  <c r="P198" i="16"/>
  <c r="O198" i="16"/>
  <c r="M198" i="16"/>
  <c r="S198" i="16" s="1"/>
  <c r="L198" i="16"/>
  <c r="R198" i="16" s="1"/>
  <c r="N197" i="16"/>
  <c r="T197" i="16" s="1"/>
  <c r="M197" i="16"/>
  <c r="S197" i="16" s="1"/>
  <c r="K197" i="16"/>
  <c r="Q197" i="16" s="1"/>
  <c r="P197" i="16"/>
  <c r="O197" i="16"/>
  <c r="L197" i="16"/>
  <c r="R197" i="16" s="1"/>
  <c r="N196" i="16"/>
  <c r="T196" i="16" s="1"/>
  <c r="L196" i="16"/>
  <c r="R196" i="16" s="1"/>
  <c r="P196" i="16"/>
  <c r="O196" i="16"/>
  <c r="M196" i="16"/>
  <c r="S196" i="16" s="1"/>
  <c r="K196" i="16"/>
  <c r="Q196" i="16" s="1"/>
  <c r="T195" i="16"/>
  <c r="N195" i="16"/>
  <c r="M195" i="16"/>
  <c r="S195" i="16" s="1"/>
  <c r="K195" i="16"/>
  <c r="Q195" i="16" s="1"/>
  <c r="P195" i="16"/>
  <c r="O195" i="16"/>
  <c r="L195" i="16"/>
  <c r="R195" i="16" s="1"/>
  <c r="T194" i="16"/>
  <c r="N194" i="16"/>
  <c r="L194" i="16"/>
  <c r="R194" i="16" s="1"/>
  <c r="P194" i="16"/>
  <c r="O194" i="16"/>
  <c r="M194" i="16"/>
  <c r="S194" i="16" s="1"/>
  <c r="K194" i="16"/>
  <c r="Q194" i="16" s="1"/>
  <c r="N193" i="16"/>
  <c r="T193" i="16" s="1"/>
  <c r="M193" i="16"/>
  <c r="S193" i="16" s="1"/>
  <c r="P193" i="16"/>
  <c r="O193" i="16"/>
  <c r="L193" i="16"/>
  <c r="R193" i="16" s="1"/>
  <c r="K193" i="16"/>
  <c r="Q193" i="16" s="1"/>
  <c r="N192" i="16"/>
  <c r="T192" i="16" s="1"/>
  <c r="L192" i="16"/>
  <c r="R192" i="16" s="1"/>
  <c r="P192" i="16"/>
  <c r="O192" i="16"/>
  <c r="M192" i="16"/>
  <c r="S192" i="16" s="1"/>
  <c r="K192" i="16"/>
  <c r="Q192" i="16" s="1"/>
  <c r="T191" i="16"/>
  <c r="N191" i="16"/>
  <c r="L191" i="16"/>
  <c r="R191" i="16" s="1"/>
  <c r="K191" i="16"/>
  <c r="Q191" i="16" s="1"/>
  <c r="P191" i="16"/>
  <c r="O191" i="16"/>
  <c r="M191" i="16"/>
  <c r="S191" i="16" s="1"/>
  <c r="N190" i="16"/>
  <c r="T190" i="16" s="1"/>
  <c r="K190" i="16"/>
  <c r="Q190" i="16" s="1"/>
  <c r="P190" i="16"/>
  <c r="O190" i="16"/>
  <c r="M190" i="16"/>
  <c r="S190" i="16" s="1"/>
  <c r="L190" i="16"/>
  <c r="R190" i="16" s="1"/>
  <c r="N189" i="16"/>
  <c r="T189" i="16" s="1"/>
  <c r="M189" i="16"/>
  <c r="S189" i="16" s="1"/>
  <c r="K189" i="16"/>
  <c r="Q189" i="16" s="1"/>
  <c r="P189" i="16"/>
  <c r="O189" i="16"/>
  <c r="L189" i="16"/>
  <c r="R189" i="16" s="1"/>
  <c r="N188" i="16"/>
  <c r="T188" i="16" s="1"/>
  <c r="L188" i="16"/>
  <c r="R188" i="16" s="1"/>
  <c r="P188" i="16"/>
  <c r="O188" i="16"/>
  <c r="M188" i="16"/>
  <c r="S188" i="16" s="1"/>
  <c r="K188" i="16"/>
  <c r="Q188" i="16" s="1"/>
  <c r="T187" i="16"/>
  <c r="N187" i="16"/>
  <c r="M187" i="16"/>
  <c r="S187" i="16" s="1"/>
  <c r="K187" i="16"/>
  <c r="Q187" i="16" s="1"/>
  <c r="P187" i="16"/>
  <c r="O187" i="16"/>
  <c r="L187" i="16"/>
  <c r="R187" i="16" s="1"/>
  <c r="T186" i="16"/>
  <c r="N186" i="16"/>
  <c r="L186" i="16"/>
  <c r="R186" i="16" s="1"/>
  <c r="P186" i="16"/>
  <c r="O186" i="16"/>
  <c r="M186" i="16"/>
  <c r="S186" i="16" s="1"/>
  <c r="K186" i="16"/>
  <c r="Q186" i="16" s="1"/>
  <c r="N185" i="16"/>
  <c r="T185" i="16" s="1"/>
  <c r="M185" i="16"/>
  <c r="S185" i="16" s="1"/>
  <c r="P185" i="16"/>
  <c r="O185" i="16"/>
  <c r="L185" i="16"/>
  <c r="R185" i="16" s="1"/>
  <c r="K185" i="16"/>
  <c r="Q185" i="16" s="1"/>
  <c r="N184" i="16"/>
  <c r="T184" i="16" s="1"/>
  <c r="L184" i="16"/>
  <c r="R184" i="16" s="1"/>
  <c r="P184" i="16"/>
  <c r="O184" i="16"/>
  <c r="M184" i="16"/>
  <c r="S184" i="16" s="1"/>
  <c r="K184" i="16"/>
  <c r="Q184" i="16" s="1"/>
  <c r="T183" i="16"/>
  <c r="N183" i="16"/>
  <c r="L183" i="16"/>
  <c r="R183" i="16" s="1"/>
  <c r="K183" i="16"/>
  <c r="Q183" i="16" s="1"/>
  <c r="P183" i="16"/>
  <c r="O183" i="16"/>
  <c r="M183" i="16"/>
  <c r="S183" i="16" s="1"/>
  <c r="N182" i="16"/>
  <c r="T182" i="16" s="1"/>
  <c r="K182" i="16"/>
  <c r="Q182" i="16" s="1"/>
  <c r="P182" i="16"/>
  <c r="O182" i="16"/>
  <c r="M182" i="16"/>
  <c r="S182" i="16" s="1"/>
  <c r="L182" i="16"/>
  <c r="R182" i="16" s="1"/>
  <c r="N181" i="16"/>
  <c r="T181" i="16" s="1"/>
  <c r="M181" i="16"/>
  <c r="S181" i="16" s="1"/>
  <c r="K181" i="16"/>
  <c r="Q181" i="16" s="1"/>
  <c r="P181" i="16"/>
  <c r="O181" i="16"/>
  <c r="L181" i="16"/>
  <c r="R181" i="16" s="1"/>
  <c r="Q180" i="16"/>
  <c r="N180" i="16"/>
  <c r="T180" i="16" s="1"/>
  <c r="L180" i="16"/>
  <c r="R180" i="16" s="1"/>
  <c r="P180" i="16"/>
  <c r="O180" i="16"/>
  <c r="M180" i="16"/>
  <c r="S180" i="16" s="1"/>
  <c r="K180" i="16"/>
  <c r="T179" i="16"/>
  <c r="N179" i="16"/>
  <c r="M179" i="16"/>
  <c r="S179" i="16" s="1"/>
  <c r="K179" i="16"/>
  <c r="Q179" i="16" s="1"/>
  <c r="P179" i="16"/>
  <c r="O179" i="16"/>
  <c r="L179" i="16"/>
  <c r="R179" i="16" s="1"/>
  <c r="T178" i="16"/>
  <c r="N178" i="16"/>
  <c r="L178" i="16"/>
  <c r="R178" i="16" s="1"/>
  <c r="P178" i="16"/>
  <c r="O178" i="16"/>
  <c r="M178" i="16"/>
  <c r="S178" i="16" s="1"/>
  <c r="K178" i="16"/>
  <c r="Q178" i="16" s="1"/>
  <c r="N177" i="16"/>
  <c r="T177" i="16" s="1"/>
  <c r="M177" i="16"/>
  <c r="S177" i="16" s="1"/>
  <c r="P177" i="16"/>
  <c r="O177" i="16"/>
  <c r="L177" i="16"/>
  <c r="R177" i="16" s="1"/>
  <c r="K177" i="16"/>
  <c r="Q177" i="16" s="1"/>
  <c r="N176" i="16"/>
  <c r="T176" i="16" s="1"/>
  <c r="L176" i="16"/>
  <c r="R176" i="16" s="1"/>
  <c r="P176" i="16"/>
  <c r="O176" i="16"/>
  <c r="M176" i="16"/>
  <c r="S176" i="16" s="1"/>
  <c r="K176" i="16"/>
  <c r="Q176" i="16" s="1"/>
  <c r="T175" i="16"/>
  <c r="N175" i="16"/>
  <c r="L175" i="16"/>
  <c r="R175" i="16" s="1"/>
  <c r="K175" i="16"/>
  <c r="Q175" i="16" s="1"/>
  <c r="P175" i="16"/>
  <c r="O175" i="16"/>
  <c r="M175" i="16"/>
  <c r="S175" i="16" s="1"/>
  <c r="N174" i="16"/>
  <c r="T174" i="16" s="1"/>
  <c r="K174" i="16"/>
  <c r="Q174" i="16" s="1"/>
  <c r="P174" i="16"/>
  <c r="O174" i="16"/>
  <c r="M174" i="16"/>
  <c r="S174" i="16" s="1"/>
  <c r="L174" i="16"/>
  <c r="R174" i="16" s="1"/>
  <c r="N173" i="16"/>
  <c r="T173" i="16" s="1"/>
  <c r="M173" i="16"/>
  <c r="S173" i="16" s="1"/>
  <c r="K173" i="16"/>
  <c r="Q173" i="16" s="1"/>
  <c r="P173" i="16"/>
  <c r="O173" i="16"/>
  <c r="L173" i="16"/>
  <c r="R173" i="16" s="1"/>
  <c r="Q172" i="16"/>
  <c r="N172" i="16"/>
  <c r="T172" i="16" s="1"/>
  <c r="L172" i="16"/>
  <c r="R172" i="16" s="1"/>
  <c r="P172" i="16"/>
  <c r="O172" i="16"/>
  <c r="M172" i="16"/>
  <c r="S172" i="16" s="1"/>
  <c r="K172" i="16"/>
  <c r="T171" i="16"/>
  <c r="N171" i="16"/>
  <c r="M171" i="16"/>
  <c r="S171" i="16" s="1"/>
  <c r="K171" i="16"/>
  <c r="Q171" i="16" s="1"/>
  <c r="P171" i="16"/>
  <c r="O171" i="16"/>
  <c r="L171" i="16"/>
  <c r="R171" i="16" s="1"/>
  <c r="T170" i="16"/>
  <c r="N170" i="16"/>
  <c r="L170" i="16"/>
  <c r="R170" i="16" s="1"/>
  <c r="P170" i="16"/>
  <c r="O170" i="16"/>
  <c r="M170" i="16"/>
  <c r="S170" i="16" s="1"/>
  <c r="K170" i="16"/>
  <c r="Q170" i="16" s="1"/>
  <c r="N169" i="16"/>
  <c r="T169" i="16" s="1"/>
  <c r="M169" i="16"/>
  <c r="S169" i="16" s="1"/>
  <c r="P169" i="16"/>
  <c r="O169" i="16"/>
  <c r="L169" i="16"/>
  <c r="R169" i="16" s="1"/>
  <c r="K169" i="16"/>
  <c r="Q169" i="16" s="1"/>
  <c r="N168" i="16"/>
  <c r="T168" i="16" s="1"/>
  <c r="L168" i="16"/>
  <c r="R168" i="16" s="1"/>
  <c r="P168" i="16"/>
  <c r="O168" i="16"/>
  <c r="M168" i="16"/>
  <c r="S168" i="16" s="1"/>
  <c r="K168" i="16"/>
  <c r="Q168" i="16" s="1"/>
  <c r="T167" i="16"/>
  <c r="N167" i="16"/>
  <c r="L167" i="16"/>
  <c r="R167" i="16" s="1"/>
  <c r="K167" i="16"/>
  <c r="Q167" i="16" s="1"/>
  <c r="P167" i="16"/>
  <c r="O167" i="16"/>
  <c r="M167" i="16"/>
  <c r="S167" i="16" s="1"/>
  <c r="N166" i="16"/>
  <c r="T166" i="16" s="1"/>
  <c r="K166" i="16"/>
  <c r="Q166" i="16" s="1"/>
  <c r="P166" i="16"/>
  <c r="O166" i="16"/>
  <c r="M166" i="16"/>
  <c r="S166" i="16" s="1"/>
  <c r="L166" i="16"/>
  <c r="R166" i="16" s="1"/>
  <c r="N165" i="16"/>
  <c r="T165" i="16" s="1"/>
  <c r="M165" i="16"/>
  <c r="S165" i="16" s="1"/>
  <c r="K165" i="16"/>
  <c r="Q165" i="16" s="1"/>
  <c r="P165" i="16"/>
  <c r="O165" i="16"/>
  <c r="L165" i="16"/>
  <c r="R165" i="16" s="1"/>
  <c r="N164" i="16"/>
  <c r="T164" i="16" s="1"/>
  <c r="L164" i="16"/>
  <c r="R164" i="16" s="1"/>
  <c r="P164" i="16"/>
  <c r="O164" i="16"/>
  <c r="M164" i="16"/>
  <c r="S164" i="16" s="1"/>
  <c r="K164" i="16"/>
  <c r="Q164" i="16" s="1"/>
  <c r="T163" i="16"/>
  <c r="N163" i="16"/>
  <c r="M163" i="16"/>
  <c r="S163" i="16" s="1"/>
  <c r="K163" i="16"/>
  <c r="Q163" i="16" s="1"/>
  <c r="P163" i="16"/>
  <c r="O163" i="16"/>
  <c r="L163" i="16"/>
  <c r="R163" i="16" s="1"/>
  <c r="T162" i="16"/>
  <c r="N162" i="16"/>
  <c r="L162" i="16"/>
  <c r="R162" i="16" s="1"/>
  <c r="P162" i="16"/>
  <c r="O162" i="16"/>
  <c r="M162" i="16"/>
  <c r="S162" i="16" s="1"/>
  <c r="K162" i="16"/>
  <c r="Q162" i="16" s="1"/>
  <c r="N161" i="16"/>
  <c r="T161" i="16" s="1"/>
  <c r="L161" i="16"/>
  <c r="R161" i="16" s="1"/>
  <c r="P161" i="16"/>
  <c r="O161" i="16"/>
  <c r="M161" i="16"/>
  <c r="S161" i="16" s="1"/>
  <c r="K161" i="16"/>
  <c r="Q161" i="16" s="1"/>
  <c r="T160" i="16"/>
  <c r="N160" i="16"/>
  <c r="M160" i="16"/>
  <c r="S160" i="16" s="1"/>
  <c r="K160" i="16"/>
  <c r="Q160" i="16" s="1"/>
  <c r="P160" i="16"/>
  <c r="O160" i="16"/>
  <c r="L160" i="16"/>
  <c r="R160" i="16" s="1"/>
  <c r="N159" i="16"/>
  <c r="T159" i="16" s="1"/>
  <c r="L159" i="16"/>
  <c r="R159" i="16" s="1"/>
  <c r="P159" i="16"/>
  <c r="O159" i="16"/>
  <c r="M159" i="16"/>
  <c r="S159" i="16" s="1"/>
  <c r="K159" i="16"/>
  <c r="Q159" i="16" s="1"/>
  <c r="N158" i="16"/>
  <c r="T158" i="16" s="1"/>
  <c r="M158" i="16"/>
  <c r="S158" i="16" s="1"/>
  <c r="K158" i="16"/>
  <c r="Q158" i="16" s="1"/>
  <c r="P158" i="16"/>
  <c r="O158" i="16"/>
  <c r="L158" i="16"/>
  <c r="R158" i="16" s="1"/>
  <c r="T157" i="16"/>
  <c r="N157" i="16"/>
  <c r="L157" i="16"/>
  <c r="R157" i="16" s="1"/>
  <c r="P157" i="16"/>
  <c r="O157" i="16"/>
  <c r="M157" i="16"/>
  <c r="S157" i="16" s="1"/>
  <c r="K157" i="16"/>
  <c r="Q157" i="16" s="1"/>
  <c r="T156" i="16"/>
  <c r="N156" i="16"/>
  <c r="K156" i="16"/>
  <c r="Q156" i="16" s="1"/>
  <c r="P156" i="16"/>
  <c r="O156" i="16"/>
  <c r="M156" i="16"/>
  <c r="S156" i="16" s="1"/>
  <c r="L156" i="16"/>
  <c r="R156" i="16" s="1"/>
  <c r="N155" i="16"/>
  <c r="T155" i="16" s="1"/>
  <c r="P155" i="16"/>
  <c r="O155" i="16"/>
  <c r="M155" i="16"/>
  <c r="S155" i="16" s="1"/>
  <c r="L155" i="16"/>
  <c r="R155" i="16" s="1"/>
  <c r="K155" i="16"/>
  <c r="Q155" i="16" s="1"/>
  <c r="N154" i="16"/>
  <c r="T154" i="16" s="1"/>
  <c r="M154" i="16"/>
  <c r="S154" i="16" s="1"/>
  <c r="P154" i="16"/>
  <c r="O154" i="16"/>
  <c r="L154" i="16"/>
  <c r="R154" i="16" s="1"/>
  <c r="K154" i="16"/>
  <c r="Q154" i="16" s="1"/>
  <c r="T153" i="16"/>
  <c r="N153" i="16"/>
  <c r="L153" i="16"/>
  <c r="R153" i="16" s="1"/>
  <c r="P153" i="16"/>
  <c r="O153" i="16"/>
  <c r="M153" i="16"/>
  <c r="S153" i="16" s="1"/>
  <c r="K153" i="16"/>
  <c r="Q153" i="16" s="1"/>
  <c r="T152" i="16"/>
  <c r="N152" i="16"/>
  <c r="K152" i="16"/>
  <c r="Q152" i="16" s="1"/>
  <c r="P152" i="16"/>
  <c r="O152" i="16"/>
  <c r="M152" i="16"/>
  <c r="S152" i="16" s="1"/>
  <c r="L152" i="16"/>
  <c r="R152" i="16" s="1"/>
  <c r="N151" i="16"/>
  <c r="T151" i="16" s="1"/>
  <c r="P151" i="16"/>
  <c r="O151" i="16"/>
  <c r="M151" i="16"/>
  <c r="S151" i="16" s="1"/>
  <c r="L151" i="16"/>
  <c r="R151" i="16" s="1"/>
  <c r="K151" i="16"/>
  <c r="Q151" i="16" s="1"/>
  <c r="N150" i="16"/>
  <c r="T150" i="16" s="1"/>
  <c r="M150" i="16"/>
  <c r="S150" i="16" s="1"/>
  <c r="P150" i="16"/>
  <c r="O150" i="16"/>
  <c r="L150" i="16"/>
  <c r="R150" i="16" s="1"/>
  <c r="K150" i="16"/>
  <c r="Q150" i="16" s="1"/>
  <c r="T149" i="16"/>
  <c r="N149" i="16"/>
  <c r="L149" i="16"/>
  <c r="R149" i="16" s="1"/>
  <c r="P149" i="16"/>
  <c r="O149" i="16"/>
  <c r="M149" i="16"/>
  <c r="S149" i="16" s="1"/>
  <c r="Q149" i="16"/>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58" i="14"/>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82" i="14"/>
  <c r="G283" i="14"/>
  <c r="G284" i="14"/>
  <c r="G285" i="14"/>
  <c r="G286" i="14"/>
  <c r="G287" i="14"/>
  <c r="G288" i="14"/>
  <c r="G289" i="14"/>
  <c r="G290" i="14"/>
  <c r="G291" i="14"/>
  <c r="G292" i="14"/>
  <c r="G293" i="14"/>
  <c r="G294" i="14"/>
  <c r="G295" i="14"/>
  <c r="G296" i="14"/>
  <c r="G297" i="14"/>
  <c r="G298" i="14"/>
  <c r="G299" i="14"/>
  <c r="G300" i="14"/>
  <c r="G301" i="14"/>
  <c r="G302" i="14"/>
  <c r="G303" i="14"/>
  <c r="G304" i="14"/>
  <c r="G305" i="14"/>
  <c r="G306" i="14"/>
  <c r="G307" i="14"/>
  <c r="N149" i="14"/>
  <c r="N150" i="14"/>
  <c r="N151" i="14"/>
  <c r="N152" i="14"/>
  <c r="N153" i="14"/>
  <c r="N154" i="14"/>
  <c r="N155" i="14"/>
  <c r="T155" i="14" s="1"/>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T188" i="14" s="1"/>
  <c r="N189" i="14"/>
  <c r="N190" i="14"/>
  <c r="N191" i="14"/>
  <c r="N192" i="14"/>
  <c r="N193" i="14"/>
  <c r="N194" i="14"/>
  <c r="N195" i="14"/>
  <c r="T195" i="14" s="1"/>
  <c r="N196" i="14"/>
  <c r="T196" i="14" s="1"/>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T219" i="14" s="1"/>
  <c r="N220" i="14"/>
  <c r="N221" i="14"/>
  <c r="N222" i="14"/>
  <c r="N223" i="14"/>
  <c r="N224" i="14"/>
  <c r="N225" i="14"/>
  <c r="N226" i="14"/>
  <c r="N227" i="14"/>
  <c r="N228" i="14"/>
  <c r="N229" i="14"/>
  <c r="N230" i="14"/>
  <c r="N231" i="14"/>
  <c r="N232" i="14"/>
  <c r="N233" i="14"/>
  <c r="N234" i="14"/>
  <c r="N235" i="14"/>
  <c r="T235" i="14" s="1"/>
  <c r="N236" i="14"/>
  <c r="T236" i="14" s="1"/>
  <c r="N237" i="14"/>
  <c r="N238" i="14"/>
  <c r="N239" i="14"/>
  <c r="N240" i="14"/>
  <c r="N241" i="14"/>
  <c r="N242" i="14"/>
  <c r="N243" i="14"/>
  <c r="T243" i="14" s="1"/>
  <c r="N244" i="14"/>
  <c r="T244" i="14" s="1"/>
  <c r="N245" i="14"/>
  <c r="N246" i="14"/>
  <c r="N247" i="14"/>
  <c r="N248" i="14"/>
  <c r="N249" i="14"/>
  <c r="N250" i="14"/>
  <c r="N251" i="14"/>
  <c r="T251" i="14" s="1"/>
  <c r="N252" i="14"/>
  <c r="T252" i="14" s="1"/>
  <c r="N253" i="14"/>
  <c r="N254" i="14"/>
  <c r="N255" i="14"/>
  <c r="N256" i="14"/>
  <c r="N257" i="14"/>
  <c r="N258" i="14"/>
  <c r="N259" i="14"/>
  <c r="T259" i="14" s="1"/>
  <c r="N260" i="14"/>
  <c r="T260" i="14" s="1"/>
  <c r="N261" i="14"/>
  <c r="N262" i="14"/>
  <c r="N263" i="14"/>
  <c r="N264" i="14"/>
  <c r="N265" i="14"/>
  <c r="N266" i="14"/>
  <c r="N267" i="14"/>
  <c r="N268" i="14"/>
  <c r="T268" i="14" s="1"/>
  <c r="N269" i="14"/>
  <c r="N270" i="14"/>
  <c r="N271" i="14"/>
  <c r="N272" i="14"/>
  <c r="N273" i="14"/>
  <c r="N274" i="14"/>
  <c r="N275" i="14"/>
  <c r="T275" i="14" s="1"/>
  <c r="N276" i="14"/>
  <c r="T276" i="14" s="1"/>
  <c r="N277" i="14"/>
  <c r="N278" i="14"/>
  <c r="N279" i="14"/>
  <c r="N280" i="14"/>
  <c r="N281" i="14"/>
  <c r="N282" i="14"/>
  <c r="N283" i="14"/>
  <c r="T283" i="14" s="1"/>
  <c r="N284" i="14"/>
  <c r="T284" i="14" s="1"/>
  <c r="N285" i="14"/>
  <c r="N286" i="14"/>
  <c r="N287" i="14"/>
  <c r="N288" i="14"/>
  <c r="N289" i="14"/>
  <c r="N290" i="14"/>
  <c r="N291" i="14"/>
  <c r="N292" i="14"/>
  <c r="T292" i="14" s="1"/>
  <c r="N293" i="14"/>
  <c r="N294" i="14"/>
  <c r="N295" i="14"/>
  <c r="N296" i="14"/>
  <c r="N297" i="14"/>
  <c r="N298" i="14"/>
  <c r="N299" i="14"/>
  <c r="N300" i="14"/>
  <c r="N301" i="14"/>
  <c r="N302" i="14"/>
  <c r="N303" i="14"/>
  <c r="N304" i="14"/>
  <c r="N305" i="14"/>
  <c r="N306" i="14"/>
  <c r="N307" i="14"/>
  <c r="N148" i="14"/>
  <c r="T149" i="14"/>
  <c r="M149" i="14"/>
  <c r="S149" i="14" s="1"/>
  <c r="I149" i="14"/>
  <c r="O149" i="14" s="1"/>
  <c r="J149" i="14"/>
  <c r="P149" i="14" s="1"/>
  <c r="L149" i="14"/>
  <c r="R149" i="14" s="1"/>
  <c r="L150" i="14"/>
  <c r="R150" i="14" s="1"/>
  <c r="M150" i="14"/>
  <c r="S150" i="14" s="1"/>
  <c r="I150" i="14"/>
  <c r="J150" i="14"/>
  <c r="P150" i="14" s="1"/>
  <c r="T150" i="14"/>
  <c r="O150" i="14"/>
  <c r="T151" i="14"/>
  <c r="M151" i="14"/>
  <c r="S151" i="14" s="1"/>
  <c r="I151" i="14"/>
  <c r="J151" i="14"/>
  <c r="P151" i="14" s="1"/>
  <c r="L151" i="14"/>
  <c r="R151" i="14" s="1"/>
  <c r="O151" i="14"/>
  <c r="E152" i="14"/>
  <c r="T152" i="14" s="1"/>
  <c r="L152" i="14"/>
  <c r="R152" i="14" s="1"/>
  <c r="M152" i="14"/>
  <c r="S152" i="14" s="1"/>
  <c r="I152" i="14"/>
  <c r="J152" i="14"/>
  <c r="P152" i="14" s="1"/>
  <c r="O152" i="14"/>
  <c r="E153" i="14"/>
  <c r="L153" i="14"/>
  <c r="R153" i="14" s="1"/>
  <c r="M153" i="14"/>
  <c r="S153" i="14" s="1"/>
  <c r="I153" i="14"/>
  <c r="J153" i="14"/>
  <c r="P153" i="14" s="1"/>
  <c r="T153" i="14"/>
  <c r="O153" i="14"/>
  <c r="E154" i="14"/>
  <c r="L154" i="14"/>
  <c r="R154" i="14" s="1"/>
  <c r="M154" i="14"/>
  <c r="S154" i="14" s="1"/>
  <c r="I154" i="14"/>
  <c r="J154" i="14"/>
  <c r="P154" i="14" s="1"/>
  <c r="T154" i="14"/>
  <c r="O154" i="14"/>
  <c r="E155" i="14"/>
  <c r="L155" i="14"/>
  <c r="R155" i="14" s="1"/>
  <c r="M155" i="14"/>
  <c r="S155" i="14" s="1"/>
  <c r="I155" i="14"/>
  <c r="J155" i="14"/>
  <c r="P155" i="14" s="1"/>
  <c r="O155" i="14"/>
  <c r="E156" i="14"/>
  <c r="T156" i="14" s="1"/>
  <c r="L156" i="14"/>
  <c r="R156" i="14" s="1"/>
  <c r="M156" i="14"/>
  <c r="S156" i="14" s="1"/>
  <c r="I156" i="14"/>
  <c r="O156" i="14" s="1"/>
  <c r="J156" i="14"/>
  <c r="P156" i="14" s="1"/>
  <c r="E157" i="14"/>
  <c r="T157" i="14" s="1"/>
  <c r="L157" i="14"/>
  <c r="R157" i="14" s="1"/>
  <c r="M157" i="14"/>
  <c r="S157" i="14" s="1"/>
  <c r="I157" i="14"/>
  <c r="O157" i="14" s="1"/>
  <c r="J157" i="14"/>
  <c r="P157" i="14" s="1"/>
  <c r="E158" i="14"/>
  <c r="L158" i="14"/>
  <c r="R158" i="14" s="1"/>
  <c r="M158" i="14"/>
  <c r="S158" i="14" s="1"/>
  <c r="I158" i="14"/>
  <c r="O158" i="14" s="1"/>
  <c r="J158" i="14"/>
  <c r="P158" i="14" s="1"/>
  <c r="T158" i="14"/>
  <c r="E159" i="14"/>
  <c r="I159" i="14"/>
  <c r="O159" i="14" s="1"/>
  <c r="J159" i="14"/>
  <c r="P159" i="14" s="1"/>
  <c r="L159" i="14"/>
  <c r="R159" i="14" s="1"/>
  <c r="M159" i="14"/>
  <c r="S159" i="14" s="1"/>
  <c r="T159" i="14"/>
  <c r="E160" i="14"/>
  <c r="M160" i="14"/>
  <c r="S160" i="14" s="1"/>
  <c r="I160" i="14"/>
  <c r="O160" i="14" s="1"/>
  <c r="J160" i="14"/>
  <c r="P160" i="14" s="1"/>
  <c r="L160" i="14"/>
  <c r="R160" i="14" s="1"/>
  <c r="E161" i="14"/>
  <c r="L161" i="14"/>
  <c r="R161" i="14" s="1"/>
  <c r="M161" i="14"/>
  <c r="S161" i="14" s="1"/>
  <c r="I161" i="14"/>
  <c r="J161" i="14"/>
  <c r="P161" i="14" s="1"/>
  <c r="O161" i="14"/>
  <c r="E162" i="14"/>
  <c r="L162" i="14"/>
  <c r="R162" i="14" s="1"/>
  <c r="M162" i="14"/>
  <c r="S162" i="14" s="1"/>
  <c r="I162" i="14"/>
  <c r="O162" i="14" s="1"/>
  <c r="J162" i="14"/>
  <c r="P162" i="14" s="1"/>
  <c r="E163" i="14"/>
  <c r="L163" i="14"/>
  <c r="R163" i="14" s="1"/>
  <c r="I163" i="14"/>
  <c r="J163" i="14"/>
  <c r="P163" i="14" s="1"/>
  <c r="M163" i="14"/>
  <c r="S163" i="14" s="1"/>
  <c r="O163" i="14"/>
  <c r="E164" i="14"/>
  <c r="L164" i="14"/>
  <c r="M164" i="14"/>
  <c r="S164" i="14" s="1"/>
  <c r="I164" i="14"/>
  <c r="J164" i="14"/>
  <c r="P164" i="14" s="1"/>
  <c r="O164" i="14"/>
  <c r="R164" i="14"/>
  <c r="E165" i="14"/>
  <c r="L165" i="14"/>
  <c r="R165" i="14" s="1"/>
  <c r="M165" i="14"/>
  <c r="S165" i="14" s="1"/>
  <c r="I165" i="14"/>
  <c r="J165" i="14"/>
  <c r="P165" i="14" s="1"/>
  <c r="O165" i="14"/>
  <c r="E166" i="14"/>
  <c r="L166" i="14"/>
  <c r="R166" i="14" s="1"/>
  <c r="M166" i="14"/>
  <c r="S166" i="14" s="1"/>
  <c r="I166" i="14"/>
  <c r="O166" i="14" s="1"/>
  <c r="J166" i="14"/>
  <c r="P166" i="14" s="1"/>
  <c r="E167" i="14"/>
  <c r="L167" i="14"/>
  <c r="R167" i="14" s="1"/>
  <c r="M167" i="14"/>
  <c r="S167" i="14" s="1"/>
  <c r="I167" i="14"/>
  <c r="O167" i="14" s="1"/>
  <c r="J167" i="14"/>
  <c r="P167" i="14" s="1"/>
  <c r="E168" i="14"/>
  <c r="M168" i="14"/>
  <c r="S168" i="14" s="1"/>
  <c r="I168" i="14"/>
  <c r="O168" i="14" s="1"/>
  <c r="J168" i="14"/>
  <c r="P168" i="14" s="1"/>
  <c r="L168" i="14"/>
  <c r="R168" i="14" s="1"/>
  <c r="E169" i="14"/>
  <c r="M169" i="14"/>
  <c r="S169" i="14" s="1"/>
  <c r="I169" i="14"/>
  <c r="O169" i="14" s="1"/>
  <c r="J169" i="14"/>
  <c r="P169" i="14" s="1"/>
  <c r="L169" i="14"/>
  <c r="R169" i="14" s="1"/>
  <c r="E170" i="14"/>
  <c r="L170" i="14"/>
  <c r="R170" i="14" s="1"/>
  <c r="M170" i="14"/>
  <c r="S170" i="14" s="1"/>
  <c r="I170" i="14"/>
  <c r="O170" i="14" s="1"/>
  <c r="J170" i="14"/>
  <c r="P170" i="14" s="1"/>
  <c r="E171" i="14"/>
  <c r="I171" i="14"/>
  <c r="J171" i="14"/>
  <c r="P171" i="14" s="1"/>
  <c r="L171" i="14"/>
  <c r="R171" i="14" s="1"/>
  <c r="M171" i="14"/>
  <c r="S171" i="14" s="1"/>
  <c r="O171" i="14"/>
  <c r="E172" i="14"/>
  <c r="L172" i="14"/>
  <c r="M172" i="14"/>
  <c r="S172" i="14" s="1"/>
  <c r="I172" i="14"/>
  <c r="J172" i="14"/>
  <c r="P172" i="14" s="1"/>
  <c r="O172" i="14"/>
  <c r="R172" i="14"/>
  <c r="E173" i="14"/>
  <c r="L173" i="14"/>
  <c r="R173" i="14" s="1"/>
  <c r="I173" i="14"/>
  <c r="J173" i="14"/>
  <c r="P173" i="14" s="1"/>
  <c r="M173" i="14"/>
  <c r="S173" i="14" s="1"/>
  <c r="O173" i="14"/>
  <c r="E174" i="14"/>
  <c r="L174" i="14"/>
  <c r="R174" i="14" s="1"/>
  <c r="M174" i="14"/>
  <c r="S174" i="14" s="1"/>
  <c r="I174" i="14"/>
  <c r="J174" i="14"/>
  <c r="P174" i="14" s="1"/>
  <c r="O174" i="14"/>
  <c r="E175" i="14"/>
  <c r="L175" i="14"/>
  <c r="R175" i="14" s="1"/>
  <c r="M175" i="14"/>
  <c r="S175" i="14" s="1"/>
  <c r="I175" i="14"/>
  <c r="O175" i="14" s="1"/>
  <c r="J175" i="14"/>
  <c r="P175" i="14" s="1"/>
  <c r="E176" i="14"/>
  <c r="M176" i="14"/>
  <c r="S176" i="14" s="1"/>
  <c r="I176" i="14"/>
  <c r="O176" i="14" s="1"/>
  <c r="J176" i="14"/>
  <c r="P176" i="14" s="1"/>
  <c r="L176" i="14"/>
  <c r="R176" i="14" s="1"/>
  <c r="E177" i="14"/>
  <c r="L177" i="14"/>
  <c r="R177" i="14" s="1"/>
  <c r="M177" i="14"/>
  <c r="S177" i="14" s="1"/>
  <c r="I177" i="14"/>
  <c r="O177" i="14" s="1"/>
  <c r="J177" i="14"/>
  <c r="P177" i="14" s="1"/>
  <c r="E178" i="14"/>
  <c r="L178" i="14"/>
  <c r="R178" i="14" s="1"/>
  <c r="I178" i="14"/>
  <c r="O178" i="14" s="1"/>
  <c r="J178" i="14"/>
  <c r="P178" i="14" s="1"/>
  <c r="M178" i="14"/>
  <c r="S178" i="14" s="1"/>
  <c r="E179" i="14"/>
  <c r="L179" i="14"/>
  <c r="R179" i="14" s="1"/>
  <c r="M179" i="14"/>
  <c r="S179" i="14" s="1"/>
  <c r="I179" i="14"/>
  <c r="O179" i="14" s="1"/>
  <c r="J179" i="14"/>
  <c r="P179" i="14" s="1"/>
  <c r="E180" i="14"/>
  <c r="M180" i="14"/>
  <c r="S180" i="14" s="1"/>
  <c r="I180" i="14"/>
  <c r="O180" i="14" s="1"/>
  <c r="J180" i="14"/>
  <c r="P180" i="14" s="1"/>
  <c r="L180" i="14"/>
  <c r="R180" i="14" s="1"/>
  <c r="E181" i="14"/>
  <c r="L181" i="14"/>
  <c r="R181" i="14" s="1"/>
  <c r="M181" i="14"/>
  <c r="S181" i="14" s="1"/>
  <c r="I181" i="14"/>
  <c r="O181" i="14" s="1"/>
  <c r="J181" i="14"/>
  <c r="P181" i="14" s="1"/>
  <c r="E182" i="14"/>
  <c r="L182" i="14"/>
  <c r="R182" i="14" s="1"/>
  <c r="I182" i="14"/>
  <c r="O182" i="14" s="1"/>
  <c r="J182" i="14"/>
  <c r="P182" i="14" s="1"/>
  <c r="M182" i="14"/>
  <c r="S182" i="14" s="1"/>
  <c r="E183" i="14"/>
  <c r="L183" i="14"/>
  <c r="R183" i="14" s="1"/>
  <c r="M183" i="14"/>
  <c r="S183" i="14" s="1"/>
  <c r="I183" i="14"/>
  <c r="O183" i="14" s="1"/>
  <c r="J183" i="14"/>
  <c r="P183" i="14" s="1"/>
  <c r="E184" i="14"/>
  <c r="M184" i="14"/>
  <c r="S184" i="14" s="1"/>
  <c r="I184" i="14"/>
  <c r="O184" i="14" s="1"/>
  <c r="J184" i="14"/>
  <c r="P184" i="14" s="1"/>
  <c r="L184" i="14"/>
  <c r="R184" i="14" s="1"/>
  <c r="E185" i="14"/>
  <c r="L185" i="14"/>
  <c r="R185" i="14" s="1"/>
  <c r="M185" i="14"/>
  <c r="S185" i="14" s="1"/>
  <c r="I185" i="14"/>
  <c r="O185" i="14" s="1"/>
  <c r="J185" i="14"/>
  <c r="P185" i="14" s="1"/>
  <c r="E186" i="14"/>
  <c r="L186" i="14"/>
  <c r="R186" i="14" s="1"/>
  <c r="I186" i="14"/>
  <c r="O186" i="14" s="1"/>
  <c r="J186" i="14"/>
  <c r="P186" i="14" s="1"/>
  <c r="M186" i="14"/>
  <c r="S186" i="14" s="1"/>
  <c r="E187" i="14"/>
  <c r="L187" i="14"/>
  <c r="R187" i="14" s="1"/>
  <c r="M187" i="14"/>
  <c r="S187" i="14" s="1"/>
  <c r="I187" i="14"/>
  <c r="O187" i="14" s="1"/>
  <c r="J187" i="14"/>
  <c r="P187" i="14" s="1"/>
  <c r="E188" i="14"/>
  <c r="L188" i="14"/>
  <c r="R188" i="14" s="1"/>
  <c r="M188" i="14"/>
  <c r="S188" i="14" s="1"/>
  <c r="I188" i="14"/>
  <c r="O188" i="14" s="1"/>
  <c r="J188" i="14"/>
  <c r="P188" i="14" s="1"/>
  <c r="K188" i="14"/>
  <c r="Q188" i="14" s="1"/>
  <c r="E189" i="14"/>
  <c r="T189" i="14" s="1"/>
  <c r="L189" i="14"/>
  <c r="R189" i="14" s="1"/>
  <c r="M189" i="14"/>
  <c r="S189" i="14" s="1"/>
  <c r="I189" i="14"/>
  <c r="O189" i="14" s="1"/>
  <c r="J189" i="14"/>
  <c r="P189" i="14" s="1"/>
  <c r="E190" i="14"/>
  <c r="K190" i="14" s="1"/>
  <c r="Q190" i="14" s="1"/>
  <c r="L190" i="14"/>
  <c r="M190" i="14"/>
  <c r="S190" i="14" s="1"/>
  <c r="I190" i="14"/>
  <c r="O190" i="14" s="1"/>
  <c r="J190" i="14"/>
  <c r="P190" i="14" s="1"/>
  <c r="R190" i="14"/>
  <c r="T190" i="14"/>
  <c r="E191" i="14"/>
  <c r="L191" i="14"/>
  <c r="R191" i="14" s="1"/>
  <c r="M191" i="14"/>
  <c r="S191" i="14" s="1"/>
  <c r="I191" i="14"/>
  <c r="J191" i="14"/>
  <c r="P191" i="14" s="1"/>
  <c r="K191" i="14"/>
  <c r="Q191" i="14" s="1"/>
  <c r="T191" i="14"/>
  <c r="O191" i="14"/>
  <c r="E192" i="14"/>
  <c r="L192" i="14"/>
  <c r="R192" i="14" s="1"/>
  <c r="M192" i="14"/>
  <c r="S192" i="14" s="1"/>
  <c r="T192" i="14"/>
  <c r="I192" i="14"/>
  <c r="O192" i="14" s="1"/>
  <c r="J192" i="14"/>
  <c r="P192" i="14" s="1"/>
  <c r="K192" i="14"/>
  <c r="Q192" i="14" s="1"/>
  <c r="E193" i="14"/>
  <c r="K193" i="14" s="1"/>
  <c r="Q193" i="14" s="1"/>
  <c r="L193" i="14"/>
  <c r="R193" i="14" s="1"/>
  <c r="M193" i="14"/>
  <c r="S193" i="14" s="1"/>
  <c r="T193" i="14"/>
  <c r="I193" i="14"/>
  <c r="O193" i="14" s="1"/>
  <c r="J193" i="14"/>
  <c r="P193" i="14" s="1"/>
  <c r="E194" i="14"/>
  <c r="K194" i="14" s="1"/>
  <c r="Q194" i="14" s="1"/>
  <c r="L194" i="14"/>
  <c r="R194" i="14" s="1"/>
  <c r="M194" i="14"/>
  <c r="S194" i="14" s="1"/>
  <c r="T194" i="14"/>
  <c r="I194" i="14"/>
  <c r="O194" i="14" s="1"/>
  <c r="J194" i="14"/>
  <c r="P194" i="14" s="1"/>
  <c r="E195" i="14"/>
  <c r="K195" i="14" s="1"/>
  <c r="Q195" i="14" s="1"/>
  <c r="L195" i="14"/>
  <c r="R195" i="14" s="1"/>
  <c r="M195" i="14"/>
  <c r="S195" i="14" s="1"/>
  <c r="I195" i="14"/>
  <c r="J195" i="14"/>
  <c r="O195" i="14"/>
  <c r="P195" i="14"/>
  <c r="E196" i="14"/>
  <c r="K196" i="14" s="1"/>
  <c r="Q196" i="14" s="1"/>
  <c r="L196" i="14"/>
  <c r="R196" i="14" s="1"/>
  <c r="M196" i="14"/>
  <c r="S196" i="14" s="1"/>
  <c r="I196" i="14"/>
  <c r="O196" i="14" s="1"/>
  <c r="J196" i="14"/>
  <c r="P196" i="14" s="1"/>
  <c r="E197" i="14"/>
  <c r="T197" i="14" s="1"/>
  <c r="L197" i="14"/>
  <c r="R197" i="14" s="1"/>
  <c r="I197" i="14"/>
  <c r="J197" i="14"/>
  <c r="M197" i="14"/>
  <c r="S197" i="14" s="1"/>
  <c r="O197" i="14"/>
  <c r="P197" i="14"/>
  <c r="E198" i="14"/>
  <c r="K198" i="14" s="1"/>
  <c r="Q198" i="14" s="1"/>
  <c r="L198" i="14"/>
  <c r="R198" i="14" s="1"/>
  <c r="M198" i="14"/>
  <c r="S198" i="14" s="1"/>
  <c r="T198" i="14"/>
  <c r="I198" i="14"/>
  <c r="O198" i="14" s="1"/>
  <c r="J198" i="14"/>
  <c r="P198" i="14" s="1"/>
  <c r="E199" i="14"/>
  <c r="K199" i="14" s="1"/>
  <c r="Q199" i="14" s="1"/>
  <c r="L199" i="14"/>
  <c r="M199" i="14"/>
  <c r="S199" i="14" s="1"/>
  <c r="T199" i="14"/>
  <c r="I199" i="14"/>
  <c r="O199" i="14" s="1"/>
  <c r="J199" i="14"/>
  <c r="P199" i="14" s="1"/>
  <c r="R199" i="14"/>
  <c r="E200" i="14"/>
  <c r="K200" i="14" s="1"/>
  <c r="Q200" i="14" s="1"/>
  <c r="L200" i="14"/>
  <c r="I200" i="14"/>
  <c r="O200" i="14" s="1"/>
  <c r="J200" i="14"/>
  <c r="P200" i="14" s="1"/>
  <c r="M200" i="14"/>
  <c r="S200" i="14" s="1"/>
  <c r="R200" i="14"/>
  <c r="E201" i="14"/>
  <c r="T201" i="14" s="1"/>
  <c r="L201" i="14"/>
  <c r="R201" i="14" s="1"/>
  <c r="I201" i="14"/>
  <c r="J201" i="14"/>
  <c r="P201" i="14" s="1"/>
  <c r="M201" i="14"/>
  <c r="S201" i="14" s="1"/>
  <c r="O201" i="14"/>
  <c r="E202" i="14"/>
  <c r="K202" i="14" s="1"/>
  <c r="Q202" i="14" s="1"/>
  <c r="L202" i="14"/>
  <c r="R202" i="14" s="1"/>
  <c r="M202" i="14"/>
  <c r="S202" i="14" s="1"/>
  <c r="T202" i="14"/>
  <c r="I202" i="14"/>
  <c r="O202" i="14" s="1"/>
  <c r="J202" i="14"/>
  <c r="P202" i="14"/>
  <c r="E203" i="14"/>
  <c r="L203" i="14"/>
  <c r="R203" i="14" s="1"/>
  <c r="M203" i="14"/>
  <c r="S203" i="14" s="1"/>
  <c r="T203" i="14"/>
  <c r="I203" i="14"/>
  <c r="O203" i="14" s="1"/>
  <c r="J203" i="14"/>
  <c r="P203" i="14" s="1"/>
  <c r="K203" i="14"/>
  <c r="Q203" i="14" s="1"/>
  <c r="E204" i="14"/>
  <c r="K204" i="14" s="1"/>
  <c r="Q204" i="14" s="1"/>
  <c r="L204" i="14"/>
  <c r="R204" i="14" s="1"/>
  <c r="M204" i="14"/>
  <c r="S204" i="14" s="1"/>
  <c r="I204" i="14"/>
  <c r="O204" i="14" s="1"/>
  <c r="J204" i="14"/>
  <c r="P204" i="14" s="1"/>
  <c r="E205" i="14"/>
  <c r="T205" i="14" s="1"/>
  <c r="L205" i="14"/>
  <c r="R205" i="14" s="1"/>
  <c r="M205" i="14"/>
  <c r="S205" i="14" s="1"/>
  <c r="I205" i="14"/>
  <c r="O205" i="14" s="1"/>
  <c r="J205" i="14"/>
  <c r="P205" i="14" s="1"/>
  <c r="E206" i="14"/>
  <c r="K206" i="14" s="1"/>
  <c r="Q206" i="14" s="1"/>
  <c r="L206" i="14"/>
  <c r="R206" i="14" s="1"/>
  <c r="M206" i="14"/>
  <c r="S206" i="14" s="1"/>
  <c r="T206" i="14"/>
  <c r="I206" i="14"/>
  <c r="O206" i="14" s="1"/>
  <c r="J206" i="14"/>
  <c r="P206" i="14" s="1"/>
  <c r="E207" i="14"/>
  <c r="K207" i="14" s="1"/>
  <c r="Q207" i="14" s="1"/>
  <c r="L207" i="14"/>
  <c r="R207" i="14" s="1"/>
  <c r="M207" i="14"/>
  <c r="S207" i="14" s="1"/>
  <c r="T207" i="14"/>
  <c r="I207" i="14"/>
  <c r="O207" i="14" s="1"/>
  <c r="J207" i="14"/>
  <c r="P207" i="14" s="1"/>
  <c r="E208" i="14"/>
  <c r="K208" i="14" s="1"/>
  <c r="Q208" i="14" s="1"/>
  <c r="L208" i="14"/>
  <c r="R208" i="14" s="1"/>
  <c r="M208" i="14"/>
  <c r="S208" i="14" s="1"/>
  <c r="I208" i="14"/>
  <c r="O208" i="14" s="1"/>
  <c r="J208" i="14"/>
  <c r="P208" i="14" s="1"/>
  <c r="E209" i="14"/>
  <c r="T209" i="14" s="1"/>
  <c r="L209" i="14"/>
  <c r="R209" i="14" s="1"/>
  <c r="M209" i="14"/>
  <c r="S209" i="14" s="1"/>
  <c r="I209" i="14"/>
  <c r="O209" i="14" s="1"/>
  <c r="J209" i="14"/>
  <c r="P209" i="14" s="1"/>
  <c r="E210" i="14"/>
  <c r="K210" i="14" s="1"/>
  <c r="Q210" i="14" s="1"/>
  <c r="L210" i="14"/>
  <c r="R210" i="14" s="1"/>
  <c r="M210" i="14"/>
  <c r="S210" i="14" s="1"/>
  <c r="T210" i="14"/>
  <c r="I210" i="14"/>
  <c r="O210" i="14" s="1"/>
  <c r="J210" i="14"/>
  <c r="P210" i="14"/>
  <c r="E211" i="14"/>
  <c r="K211" i="14" s="1"/>
  <c r="Q211" i="14" s="1"/>
  <c r="L211" i="14"/>
  <c r="R211" i="14" s="1"/>
  <c r="M211" i="14"/>
  <c r="S211" i="14" s="1"/>
  <c r="T211" i="14"/>
  <c r="I211" i="14"/>
  <c r="J211" i="14"/>
  <c r="P211" i="14" s="1"/>
  <c r="O211" i="14"/>
  <c r="E212" i="14"/>
  <c r="K212" i="14" s="1"/>
  <c r="Q212" i="14" s="1"/>
  <c r="L212" i="14"/>
  <c r="M212" i="14"/>
  <c r="S212" i="14" s="1"/>
  <c r="I212" i="14"/>
  <c r="O212" i="14" s="1"/>
  <c r="J212" i="14"/>
  <c r="P212" i="14" s="1"/>
  <c r="R212" i="14"/>
  <c r="E213" i="14"/>
  <c r="T213" i="14" s="1"/>
  <c r="L213" i="14"/>
  <c r="R213" i="14" s="1"/>
  <c r="M213" i="14"/>
  <c r="S213" i="14" s="1"/>
  <c r="I213" i="14"/>
  <c r="J213" i="14"/>
  <c r="O213" i="14"/>
  <c r="P213" i="14"/>
  <c r="E214" i="14"/>
  <c r="K214" i="14" s="1"/>
  <c r="Q214" i="14" s="1"/>
  <c r="L214" i="14"/>
  <c r="R214" i="14" s="1"/>
  <c r="T214" i="14"/>
  <c r="I214" i="14"/>
  <c r="J214" i="14"/>
  <c r="M214" i="14"/>
  <c r="S214" i="14" s="1"/>
  <c r="O214" i="14"/>
  <c r="P214" i="14"/>
  <c r="E215" i="14"/>
  <c r="L215" i="14"/>
  <c r="R215" i="14" s="1"/>
  <c r="M215" i="14"/>
  <c r="S215" i="14" s="1"/>
  <c r="T215" i="14"/>
  <c r="I215" i="14"/>
  <c r="J215" i="14"/>
  <c r="P215" i="14" s="1"/>
  <c r="K215" i="14"/>
  <c r="Q215" i="14" s="1"/>
  <c r="O215" i="14"/>
  <c r="E216" i="14"/>
  <c r="K216" i="14" s="1"/>
  <c r="Q216" i="14" s="1"/>
  <c r="L216" i="14"/>
  <c r="R216" i="14" s="1"/>
  <c r="I216" i="14"/>
  <c r="J216" i="14"/>
  <c r="P216" i="14" s="1"/>
  <c r="M216" i="14"/>
  <c r="S216" i="14" s="1"/>
  <c r="O216" i="14"/>
  <c r="E217" i="14"/>
  <c r="T217" i="14" s="1"/>
  <c r="L217" i="14"/>
  <c r="R217" i="14" s="1"/>
  <c r="I217" i="14"/>
  <c r="J217" i="14"/>
  <c r="P217" i="14" s="1"/>
  <c r="M217" i="14"/>
  <c r="S217" i="14" s="1"/>
  <c r="O217" i="14"/>
  <c r="E218" i="14"/>
  <c r="K218" i="14" s="1"/>
  <c r="Q218" i="14" s="1"/>
  <c r="L218" i="14"/>
  <c r="R218" i="14" s="1"/>
  <c r="T218" i="14"/>
  <c r="I218" i="14"/>
  <c r="O218" i="14" s="1"/>
  <c r="J218" i="14"/>
  <c r="P218" i="14" s="1"/>
  <c r="M218" i="14"/>
  <c r="S218" i="14" s="1"/>
  <c r="E219" i="14"/>
  <c r="L219" i="14"/>
  <c r="R219" i="14" s="1"/>
  <c r="M219" i="14"/>
  <c r="S219" i="14" s="1"/>
  <c r="I219" i="14"/>
  <c r="O219" i="14" s="1"/>
  <c r="J219" i="14"/>
  <c r="P219" i="14" s="1"/>
  <c r="K219" i="14"/>
  <c r="Q219" i="14" s="1"/>
  <c r="E220" i="14"/>
  <c r="K220" i="14" s="1"/>
  <c r="Q220" i="14" s="1"/>
  <c r="L220" i="14"/>
  <c r="R220" i="14" s="1"/>
  <c r="M220" i="14"/>
  <c r="S220" i="14" s="1"/>
  <c r="I220" i="14"/>
  <c r="O220" i="14" s="1"/>
  <c r="J220" i="14"/>
  <c r="P220" i="14" s="1"/>
  <c r="E221" i="14"/>
  <c r="T221" i="14" s="1"/>
  <c r="L221" i="14"/>
  <c r="R221" i="14" s="1"/>
  <c r="M221" i="14"/>
  <c r="S221" i="14" s="1"/>
  <c r="I221" i="14"/>
  <c r="O221" i="14" s="1"/>
  <c r="J221" i="14"/>
  <c r="P221" i="14" s="1"/>
  <c r="E222" i="14"/>
  <c r="K222" i="14" s="1"/>
  <c r="Q222" i="14" s="1"/>
  <c r="L222" i="14"/>
  <c r="R222" i="14" s="1"/>
  <c r="M222" i="14"/>
  <c r="S222" i="14" s="1"/>
  <c r="T222" i="14"/>
  <c r="I222" i="14"/>
  <c r="O222" i="14" s="1"/>
  <c r="J222" i="14"/>
  <c r="P222" i="14" s="1"/>
  <c r="E223" i="14"/>
  <c r="K223" i="14" s="1"/>
  <c r="Q223" i="14" s="1"/>
  <c r="L223" i="14"/>
  <c r="R223" i="14" s="1"/>
  <c r="M223" i="14"/>
  <c r="S223" i="14" s="1"/>
  <c r="T223" i="14"/>
  <c r="I223" i="14"/>
  <c r="O223" i="14" s="1"/>
  <c r="J223" i="14"/>
  <c r="P223" i="14" s="1"/>
  <c r="E224" i="14"/>
  <c r="K224" i="14" s="1"/>
  <c r="Q224" i="14" s="1"/>
  <c r="L224" i="14"/>
  <c r="R224" i="14" s="1"/>
  <c r="M224" i="14"/>
  <c r="S224" i="14" s="1"/>
  <c r="T224" i="14"/>
  <c r="I224" i="14"/>
  <c r="O224" i="14" s="1"/>
  <c r="J224" i="14"/>
  <c r="P224" i="14" s="1"/>
  <c r="E225" i="14"/>
  <c r="K225" i="14" s="1"/>
  <c r="Q225" i="14" s="1"/>
  <c r="L225" i="14"/>
  <c r="R225" i="14" s="1"/>
  <c r="M225" i="14"/>
  <c r="S225" i="14" s="1"/>
  <c r="T225" i="14"/>
  <c r="I225" i="14"/>
  <c r="O225" i="14" s="1"/>
  <c r="J225" i="14"/>
  <c r="P225" i="14" s="1"/>
  <c r="E226" i="14"/>
  <c r="K226" i="14" s="1"/>
  <c r="Q226" i="14" s="1"/>
  <c r="L226" i="14"/>
  <c r="R226" i="14" s="1"/>
  <c r="M226" i="14"/>
  <c r="S226" i="14" s="1"/>
  <c r="T226" i="14"/>
  <c r="I226" i="14"/>
  <c r="O226" i="14" s="1"/>
  <c r="J226" i="14"/>
  <c r="P226" i="14" s="1"/>
  <c r="E227" i="14"/>
  <c r="K227" i="14" s="1"/>
  <c r="Q227" i="14" s="1"/>
  <c r="L227" i="14"/>
  <c r="R227" i="14" s="1"/>
  <c r="M227" i="14"/>
  <c r="S227" i="14" s="1"/>
  <c r="T227" i="14"/>
  <c r="I227" i="14"/>
  <c r="O227" i="14" s="1"/>
  <c r="J227" i="14"/>
  <c r="P227" i="14" s="1"/>
  <c r="E228" i="14"/>
  <c r="K228" i="14" s="1"/>
  <c r="Q228" i="14" s="1"/>
  <c r="L228" i="14"/>
  <c r="R228" i="14" s="1"/>
  <c r="M228" i="14"/>
  <c r="S228" i="14" s="1"/>
  <c r="I228" i="14"/>
  <c r="O228" i="14" s="1"/>
  <c r="J228" i="14"/>
  <c r="T228" i="14"/>
  <c r="P228" i="14"/>
  <c r="E229" i="14"/>
  <c r="K229" i="14" s="1"/>
  <c r="Q229" i="14" s="1"/>
  <c r="L229" i="14"/>
  <c r="R229" i="14" s="1"/>
  <c r="M229" i="14"/>
  <c r="S229" i="14" s="1"/>
  <c r="I229" i="14"/>
  <c r="J229" i="14"/>
  <c r="P229" i="14" s="1"/>
  <c r="T229" i="14"/>
  <c r="O229" i="14"/>
  <c r="E230" i="14"/>
  <c r="K230" i="14" s="1"/>
  <c r="Q230" i="14" s="1"/>
  <c r="L230" i="14"/>
  <c r="R230" i="14" s="1"/>
  <c r="M230" i="14"/>
  <c r="S230" i="14" s="1"/>
  <c r="T230" i="14"/>
  <c r="I230" i="14"/>
  <c r="J230" i="14"/>
  <c r="O230" i="14"/>
  <c r="P230" i="14"/>
  <c r="E231" i="14"/>
  <c r="L231" i="14"/>
  <c r="R231" i="14" s="1"/>
  <c r="M231" i="14"/>
  <c r="S231" i="14" s="1"/>
  <c r="I231" i="14"/>
  <c r="J231" i="14"/>
  <c r="K231" i="14"/>
  <c r="Q231" i="14" s="1"/>
  <c r="T231" i="14"/>
  <c r="O231" i="14"/>
  <c r="P231" i="14"/>
  <c r="E232" i="14"/>
  <c r="K232" i="14" s="1"/>
  <c r="Q232" i="14" s="1"/>
  <c r="L232" i="14"/>
  <c r="R232" i="14" s="1"/>
  <c r="M232" i="14"/>
  <c r="S232" i="14" s="1"/>
  <c r="T232" i="14"/>
  <c r="I232" i="14"/>
  <c r="O232" i="14" s="1"/>
  <c r="J232" i="14"/>
  <c r="P232" i="14" s="1"/>
  <c r="E233" i="14"/>
  <c r="K233" i="14" s="1"/>
  <c r="Q233" i="14" s="1"/>
  <c r="L233" i="14"/>
  <c r="R233" i="14" s="1"/>
  <c r="M233" i="14"/>
  <c r="S233" i="14" s="1"/>
  <c r="T233" i="14"/>
  <c r="I233" i="14"/>
  <c r="O233" i="14" s="1"/>
  <c r="J233" i="14"/>
  <c r="P233" i="14" s="1"/>
  <c r="E234" i="14"/>
  <c r="L234" i="14"/>
  <c r="R234" i="14" s="1"/>
  <c r="M234" i="14"/>
  <c r="S234" i="14" s="1"/>
  <c r="I234" i="14"/>
  <c r="O234" i="14" s="1"/>
  <c r="J234" i="14"/>
  <c r="P234" i="14" s="1"/>
  <c r="K234" i="14"/>
  <c r="Q234" i="14" s="1"/>
  <c r="T234" i="14"/>
  <c r="E235" i="14"/>
  <c r="L235" i="14"/>
  <c r="M235" i="14"/>
  <c r="S235" i="14" s="1"/>
  <c r="I235" i="14"/>
  <c r="O235" i="14" s="1"/>
  <c r="J235" i="14"/>
  <c r="P235" i="14" s="1"/>
  <c r="K235" i="14"/>
  <c r="Q235" i="14" s="1"/>
  <c r="R235" i="14"/>
  <c r="E236" i="14"/>
  <c r="K236" i="14" s="1"/>
  <c r="Q236" i="14" s="1"/>
  <c r="L236" i="14"/>
  <c r="R236" i="14" s="1"/>
  <c r="M236" i="14"/>
  <c r="S236" i="14" s="1"/>
  <c r="I236" i="14"/>
  <c r="O236" i="14" s="1"/>
  <c r="J236" i="14"/>
  <c r="P236" i="14" s="1"/>
  <c r="E237" i="14"/>
  <c r="K237" i="14" s="1"/>
  <c r="Q237" i="14" s="1"/>
  <c r="L237" i="14"/>
  <c r="M237" i="14"/>
  <c r="S237" i="14" s="1"/>
  <c r="T237" i="14"/>
  <c r="I237" i="14"/>
  <c r="J237" i="14"/>
  <c r="O237" i="14"/>
  <c r="P237" i="14"/>
  <c r="R237" i="14"/>
  <c r="E238" i="14"/>
  <c r="L238" i="14"/>
  <c r="R238" i="14" s="1"/>
  <c r="M238" i="14"/>
  <c r="S238" i="14" s="1"/>
  <c r="I238" i="14"/>
  <c r="J238" i="14"/>
  <c r="P238" i="14" s="1"/>
  <c r="K238" i="14"/>
  <c r="Q238" i="14" s="1"/>
  <c r="T238" i="14"/>
  <c r="O238" i="14"/>
  <c r="E239" i="14"/>
  <c r="K239" i="14" s="1"/>
  <c r="Q239" i="14" s="1"/>
  <c r="L239" i="14"/>
  <c r="M239" i="14"/>
  <c r="S239" i="14" s="1"/>
  <c r="T239" i="14"/>
  <c r="I239" i="14"/>
  <c r="O239" i="14" s="1"/>
  <c r="J239" i="14"/>
  <c r="P239" i="14" s="1"/>
  <c r="R239" i="14"/>
  <c r="E240" i="14"/>
  <c r="L240" i="14"/>
  <c r="R240" i="14" s="1"/>
  <c r="M240" i="14"/>
  <c r="S240" i="14" s="1"/>
  <c r="I240" i="14"/>
  <c r="O240" i="14" s="1"/>
  <c r="J240" i="14"/>
  <c r="P240" i="14" s="1"/>
  <c r="K240" i="14"/>
  <c r="Q240" i="14" s="1"/>
  <c r="T240" i="14"/>
  <c r="E241" i="14"/>
  <c r="K241" i="14" s="1"/>
  <c r="Q241" i="14" s="1"/>
  <c r="L241" i="14"/>
  <c r="M241" i="14"/>
  <c r="S241" i="14" s="1"/>
  <c r="T241" i="14"/>
  <c r="I241" i="14"/>
  <c r="O241" i="14" s="1"/>
  <c r="J241" i="14"/>
  <c r="P241" i="14" s="1"/>
  <c r="R241" i="14"/>
  <c r="E242" i="14"/>
  <c r="K242" i="14" s="1"/>
  <c r="Q242" i="14" s="1"/>
  <c r="L242" i="14"/>
  <c r="M242" i="14"/>
  <c r="S242" i="14" s="1"/>
  <c r="I242" i="14"/>
  <c r="J242" i="14"/>
  <c r="P242" i="14" s="1"/>
  <c r="T242" i="14"/>
  <c r="O242" i="14"/>
  <c r="R242" i="14"/>
  <c r="E243" i="14"/>
  <c r="L243" i="14"/>
  <c r="R243" i="14" s="1"/>
  <c r="M243" i="14"/>
  <c r="S243" i="14" s="1"/>
  <c r="I243" i="14"/>
  <c r="J243" i="14"/>
  <c r="K243" i="14"/>
  <c r="Q243" i="14" s="1"/>
  <c r="O243" i="14"/>
  <c r="P243" i="14"/>
  <c r="E244" i="14"/>
  <c r="L244" i="14"/>
  <c r="R244" i="14" s="1"/>
  <c r="M244" i="14"/>
  <c r="S244" i="14" s="1"/>
  <c r="I244" i="14"/>
  <c r="J244" i="14"/>
  <c r="P244" i="14" s="1"/>
  <c r="K244" i="14"/>
  <c r="Q244" i="14" s="1"/>
  <c r="O244" i="14"/>
  <c r="E245" i="14"/>
  <c r="L245" i="14"/>
  <c r="R245" i="14" s="1"/>
  <c r="M245" i="14"/>
  <c r="S245" i="14" s="1"/>
  <c r="T245" i="14"/>
  <c r="I245" i="14"/>
  <c r="O245" i="14" s="1"/>
  <c r="J245" i="14"/>
  <c r="P245" i="14" s="1"/>
  <c r="K245" i="14"/>
  <c r="Q245" i="14" s="1"/>
  <c r="E246" i="14"/>
  <c r="L246" i="14"/>
  <c r="R246" i="14" s="1"/>
  <c r="M246" i="14"/>
  <c r="S246" i="14" s="1"/>
  <c r="I246" i="14"/>
  <c r="O246" i="14" s="1"/>
  <c r="J246" i="14"/>
  <c r="P246" i="14" s="1"/>
  <c r="K246" i="14"/>
  <c r="Q246" i="14" s="1"/>
  <c r="T246" i="14"/>
  <c r="E247" i="14"/>
  <c r="K247" i="14" s="1"/>
  <c r="Q247" i="14" s="1"/>
  <c r="L247" i="14"/>
  <c r="R247" i="14" s="1"/>
  <c r="M247" i="14"/>
  <c r="S247" i="14" s="1"/>
  <c r="T247" i="14"/>
  <c r="I247" i="14"/>
  <c r="O247" i="14" s="1"/>
  <c r="J247" i="14"/>
  <c r="P247" i="14"/>
  <c r="E248" i="14"/>
  <c r="K248" i="14" s="1"/>
  <c r="Q248" i="14" s="1"/>
  <c r="L248" i="14"/>
  <c r="R248" i="14" s="1"/>
  <c r="M248" i="14"/>
  <c r="S248" i="14" s="1"/>
  <c r="I248" i="14"/>
  <c r="J248" i="14"/>
  <c r="P248" i="14" s="1"/>
  <c r="T248" i="14"/>
  <c r="O248" i="14"/>
  <c r="E249" i="14"/>
  <c r="L249" i="14"/>
  <c r="R249" i="14" s="1"/>
  <c r="M249" i="14"/>
  <c r="S249" i="14" s="1"/>
  <c r="T249" i="14"/>
  <c r="I249" i="14"/>
  <c r="J249" i="14"/>
  <c r="P249" i="14" s="1"/>
  <c r="K249" i="14"/>
  <c r="Q249" i="14" s="1"/>
  <c r="O249" i="14"/>
  <c r="E250" i="14"/>
  <c r="L250" i="14"/>
  <c r="R250" i="14" s="1"/>
  <c r="M250" i="14"/>
  <c r="S250" i="14" s="1"/>
  <c r="I250" i="14"/>
  <c r="O250" i="14" s="1"/>
  <c r="J250" i="14"/>
  <c r="P250" i="14" s="1"/>
  <c r="K250" i="14"/>
  <c r="Q250" i="14" s="1"/>
  <c r="T250" i="14"/>
  <c r="E251" i="14"/>
  <c r="L251" i="14"/>
  <c r="R251" i="14" s="1"/>
  <c r="M251" i="14"/>
  <c r="I251" i="14"/>
  <c r="O251" i="14" s="1"/>
  <c r="J251" i="14"/>
  <c r="P251" i="14" s="1"/>
  <c r="K251" i="14"/>
  <c r="Q251" i="14" s="1"/>
  <c r="S251" i="14"/>
  <c r="E252" i="14"/>
  <c r="K252" i="14" s="1"/>
  <c r="Q252" i="14" s="1"/>
  <c r="L252" i="14"/>
  <c r="R252" i="14" s="1"/>
  <c r="M252" i="14"/>
  <c r="I252" i="14"/>
  <c r="O252" i="14" s="1"/>
  <c r="J252" i="14"/>
  <c r="P252" i="14" s="1"/>
  <c r="S252" i="14"/>
  <c r="E253" i="14"/>
  <c r="K253" i="14" s="1"/>
  <c r="Q253" i="14" s="1"/>
  <c r="L253" i="14"/>
  <c r="M253" i="14"/>
  <c r="S253" i="14" s="1"/>
  <c r="I253" i="14"/>
  <c r="J253" i="14"/>
  <c r="T253" i="14"/>
  <c r="O253" i="14"/>
  <c r="P253" i="14"/>
  <c r="R253" i="14"/>
  <c r="E254" i="14"/>
  <c r="L254" i="14"/>
  <c r="R254" i="14" s="1"/>
  <c r="M254" i="14"/>
  <c r="S254" i="14" s="1"/>
  <c r="T254" i="14"/>
  <c r="I254" i="14"/>
  <c r="O254" i="14" s="1"/>
  <c r="J254" i="14"/>
  <c r="P254" i="14" s="1"/>
  <c r="K254" i="14"/>
  <c r="Q254" i="14" s="1"/>
  <c r="E255" i="14"/>
  <c r="L255" i="14"/>
  <c r="R255" i="14" s="1"/>
  <c r="M255" i="14"/>
  <c r="I255" i="14"/>
  <c r="O255" i="14" s="1"/>
  <c r="J255" i="14"/>
  <c r="P255" i="14" s="1"/>
  <c r="K255" i="14"/>
  <c r="Q255" i="14" s="1"/>
  <c r="T255" i="14"/>
  <c r="S255" i="14"/>
  <c r="E256" i="14"/>
  <c r="L256" i="14"/>
  <c r="M256" i="14"/>
  <c r="S256" i="14" s="1"/>
  <c r="I256" i="14"/>
  <c r="J256" i="14"/>
  <c r="P256" i="14" s="1"/>
  <c r="K256" i="14"/>
  <c r="Q256" i="14" s="1"/>
  <c r="T256" i="14"/>
  <c r="O256" i="14"/>
  <c r="R256" i="14"/>
  <c r="E257" i="14"/>
  <c r="K257" i="14" s="1"/>
  <c r="Q257" i="14" s="1"/>
  <c r="L257" i="14"/>
  <c r="R257" i="14" s="1"/>
  <c r="M257" i="14"/>
  <c r="S257" i="14" s="1"/>
  <c r="T257" i="14"/>
  <c r="I257" i="14"/>
  <c r="O257" i="14" s="1"/>
  <c r="J257" i="14"/>
  <c r="P257" i="14" s="1"/>
  <c r="E258" i="14"/>
  <c r="K258" i="14" s="1"/>
  <c r="Q258" i="14" s="1"/>
  <c r="L258" i="14"/>
  <c r="R258" i="14" s="1"/>
  <c r="M258" i="14"/>
  <c r="S258" i="14" s="1"/>
  <c r="I258" i="14"/>
  <c r="J258" i="14"/>
  <c r="P258" i="14" s="1"/>
  <c r="T258" i="14"/>
  <c r="O258" i="14"/>
  <c r="E259" i="14"/>
  <c r="K259" i="14" s="1"/>
  <c r="Q259" i="14" s="1"/>
  <c r="L259" i="14"/>
  <c r="R259" i="14" s="1"/>
  <c r="M259" i="14"/>
  <c r="I259" i="14"/>
  <c r="J259" i="14"/>
  <c r="O259" i="14"/>
  <c r="P259" i="14"/>
  <c r="S259" i="14"/>
  <c r="E260" i="14"/>
  <c r="K260" i="14" s="1"/>
  <c r="Q260" i="14" s="1"/>
  <c r="L260" i="14"/>
  <c r="M260" i="14"/>
  <c r="I260" i="14"/>
  <c r="O260" i="14" s="1"/>
  <c r="J260" i="14"/>
  <c r="P260" i="14" s="1"/>
  <c r="R260" i="14"/>
  <c r="S260" i="14"/>
  <c r="E261" i="14"/>
  <c r="L261" i="14"/>
  <c r="M261" i="14"/>
  <c r="S261" i="14" s="1"/>
  <c r="I261" i="14"/>
  <c r="O261" i="14" s="1"/>
  <c r="J261" i="14"/>
  <c r="P261" i="14" s="1"/>
  <c r="K261" i="14"/>
  <c r="Q261" i="14" s="1"/>
  <c r="T261" i="14"/>
  <c r="R261" i="14"/>
  <c r="E262" i="14"/>
  <c r="L262" i="14"/>
  <c r="R262" i="14" s="1"/>
  <c r="M262" i="14"/>
  <c r="S262" i="14" s="1"/>
  <c r="T262" i="14"/>
  <c r="I262" i="14"/>
  <c r="O262" i="14" s="1"/>
  <c r="J262" i="14"/>
  <c r="P262" i="14" s="1"/>
  <c r="K262" i="14"/>
  <c r="Q262" i="14" s="1"/>
  <c r="E263" i="14"/>
  <c r="K263" i="14" s="1"/>
  <c r="Q263" i="14" s="1"/>
  <c r="L263" i="14"/>
  <c r="R263" i="14" s="1"/>
  <c r="M263" i="14"/>
  <c r="S263" i="14" s="1"/>
  <c r="I263" i="14"/>
  <c r="O263" i="14" s="1"/>
  <c r="J263" i="14"/>
  <c r="P263" i="14" s="1"/>
  <c r="T263" i="14"/>
  <c r="E264" i="14"/>
  <c r="K264" i="14" s="1"/>
  <c r="Q264" i="14" s="1"/>
  <c r="L264" i="14"/>
  <c r="R264" i="14" s="1"/>
  <c r="M264" i="14"/>
  <c r="S264" i="14" s="1"/>
  <c r="I264" i="14"/>
  <c r="O264" i="14" s="1"/>
  <c r="J264" i="14"/>
  <c r="T264" i="14"/>
  <c r="P264" i="14"/>
  <c r="E265" i="14"/>
  <c r="K265" i="14" s="1"/>
  <c r="Q265" i="14" s="1"/>
  <c r="L265" i="14"/>
  <c r="M265" i="14"/>
  <c r="S265" i="14" s="1"/>
  <c r="T265" i="14"/>
  <c r="I265" i="14"/>
  <c r="O265" i="14" s="1"/>
  <c r="J265" i="14"/>
  <c r="P265" i="14" s="1"/>
  <c r="R265" i="14"/>
  <c r="E266" i="14"/>
  <c r="L266" i="14"/>
  <c r="R266" i="14" s="1"/>
  <c r="M266" i="14"/>
  <c r="S266" i="14" s="1"/>
  <c r="I266" i="14"/>
  <c r="O266" i="14" s="1"/>
  <c r="J266" i="14"/>
  <c r="P266" i="14" s="1"/>
  <c r="K266" i="14"/>
  <c r="Q266" i="14" s="1"/>
  <c r="T266" i="14"/>
  <c r="E267" i="14"/>
  <c r="L267" i="14"/>
  <c r="R267" i="14" s="1"/>
  <c r="M267" i="14"/>
  <c r="T267" i="14"/>
  <c r="I267" i="14"/>
  <c r="O267" i="14" s="1"/>
  <c r="J267" i="14"/>
  <c r="P267" i="14" s="1"/>
  <c r="K267" i="14"/>
  <c r="Q267" i="14" s="1"/>
  <c r="S267" i="14"/>
  <c r="E268" i="14"/>
  <c r="K268" i="14" s="1"/>
  <c r="Q268" i="14" s="1"/>
  <c r="L268" i="14"/>
  <c r="R268" i="14" s="1"/>
  <c r="M268" i="14"/>
  <c r="I268" i="14"/>
  <c r="O268" i="14" s="1"/>
  <c r="J268" i="14"/>
  <c r="P268" i="14" s="1"/>
  <c r="S268" i="14"/>
  <c r="E269" i="14"/>
  <c r="K269" i="14" s="1"/>
  <c r="Q269" i="14" s="1"/>
  <c r="L269" i="14"/>
  <c r="R269" i="14" s="1"/>
  <c r="M269" i="14"/>
  <c r="S269" i="14" s="1"/>
  <c r="I269" i="14"/>
  <c r="J269" i="14"/>
  <c r="T269" i="14"/>
  <c r="O269" i="14"/>
  <c r="P269" i="14"/>
  <c r="E270" i="14"/>
  <c r="L270" i="14"/>
  <c r="R270" i="14" s="1"/>
  <c r="M270" i="14"/>
  <c r="S270" i="14" s="1"/>
  <c r="T270" i="14"/>
  <c r="I270" i="14"/>
  <c r="O270" i="14" s="1"/>
  <c r="J270" i="14"/>
  <c r="P270" i="14" s="1"/>
  <c r="K270" i="14"/>
  <c r="Q270" i="14" s="1"/>
  <c r="E271" i="14"/>
  <c r="L271" i="14"/>
  <c r="R271" i="14" s="1"/>
  <c r="M271" i="14"/>
  <c r="I271" i="14"/>
  <c r="O271" i="14" s="1"/>
  <c r="J271" i="14"/>
  <c r="P271" i="14" s="1"/>
  <c r="K271" i="14"/>
  <c r="Q271" i="14" s="1"/>
  <c r="T271" i="14"/>
  <c r="S271" i="14"/>
  <c r="E272" i="14"/>
  <c r="L272" i="14"/>
  <c r="R272" i="14" s="1"/>
  <c r="M272" i="14"/>
  <c r="S272" i="14" s="1"/>
  <c r="I272" i="14"/>
  <c r="J272" i="14"/>
  <c r="P272" i="14" s="1"/>
  <c r="K272" i="14"/>
  <c r="Q272" i="14" s="1"/>
  <c r="T272" i="14"/>
  <c r="O272" i="14"/>
  <c r="E273" i="14"/>
  <c r="K273" i="14" s="1"/>
  <c r="Q273" i="14" s="1"/>
  <c r="L273" i="14"/>
  <c r="R273" i="14" s="1"/>
  <c r="M273" i="14"/>
  <c r="S273" i="14" s="1"/>
  <c r="T273" i="14"/>
  <c r="I273" i="14"/>
  <c r="O273" i="14" s="1"/>
  <c r="J273" i="14"/>
  <c r="P273" i="14" s="1"/>
  <c r="E274" i="14"/>
  <c r="K274" i="14" s="1"/>
  <c r="Q274" i="14" s="1"/>
  <c r="L274" i="14"/>
  <c r="R274" i="14" s="1"/>
  <c r="M274" i="14"/>
  <c r="S274" i="14" s="1"/>
  <c r="I274" i="14"/>
  <c r="J274" i="14"/>
  <c r="P274" i="14" s="1"/>
  <c r="T274" i="14"/>
  <c r="O274" i="14"/>
  <c r="E275" i="14"/>
  <c r="K275" i="14" s="1"/>
  <c r="Q275" i="14" s="1"/>
  <c r="L275" i="14"/>
  <c r="R275" i="14" s="1"/>
  <c r="M275" i="14"/>
  <c r="I275" i="14"/>
  <c r="J275" i="14"/>
  <c r="O275" i="14"/>
  <c r="P275" i="14"/>
  <c r="S275" i="14"/>
  <c r="E276" i="14"/>
  <c r="K276" i="14" s="1"/>
  <c r="Q276" i="14" s="1"/>
  <c r="L276" i="14"/>
  <c r="M276" i="14"/>
  <c r="I276" i="14"/>
  <c r="O276" i="14" s="1"/>
  <c r="J276" i="14"/>
  <c r="P276" i="14" s="1"/>
  <c r="R276" i="14"/>
  <c r="S276" i="14"/>
  <c r="E277" i="14"/>
  <c r="L277" i="14"/>
  <c r="R277" i="14" s="1"/>
  <c r="M277" i="14"/>
  <c r="S277" i="14" s="1"/>
  <c r="I277" i="14"/>
  <c r="O277" i="14" s="1"/>
  <c r="J277" i="14"/>
  <c r="P277" i="14" s="1"/>
  <c r="K277" i="14"/>
  <c r="Q277" i="14" s="1"/>
  <c r="T277" i="14"/>
  <c r="E278" i="14"/>
  <c r="L278" i="14"/>
  <c r="R278" i="14" s="1"/>
  <c r="M278" i="14"/>
  <c r="S278" i="14" s="1"/>
  <c r="T278" i="14"/>
  <c r="I278" i="14"/>
  <c r="O278" i="14" s="1"/>
  <c r="J278" i="14"/>
  <c r="P278" i="14" s="1"/>
  <c r="K278" i="14"/>
  <c r="Q278" i="14" s="1"/>
  <c r="E279" i="14"/>
  <c r="K279" i="14" s="1"/>
  <c r="Q279" i="14" s="1"/>
  <c r="L279" i="14"/>
  <c r="R279" i="14" s="1"/>
  <c r="M279" i="14"/>
  <c r="S279" i="14" s="1"/>
  <c r="I279" i="14"/>
  <c r="O279" i="14" s="1"/>
  <c r="J279" i="14"/>
  <c r="P279" i="14" s="1"/>
  <c r="T279" i="14"/>
  <c r="E280" i="14"/>
  <c r="K280" i="14" s="1"/>
  <c r="Q280" i="14" s="1"/>
  <c r="L280" i="14"/>
  <c r="R280" i="14" s="1"/>
  <c r="M280" i="14"/>
  <c r="I280" i="14"/>
  <c r="O280" i="14" s="1"/>
  <c r="J280" i="14"/>
  <c r="T280" i="14"/>
  <c r="P280" i="14"/>
  <c r="S280" i="14"/>
  <c r="E281" i="14"/>
  <c r="L281" i="14"/>
  <c r="R281" i="14" s="1"/>
  <c r="M281" i="14"/>
  <c r="S281" i="14" s="1"/>
  <c r="T281" i="14"/>
  <c r="I281" i="14"/>
  <c r="O281" i="14" s="1"/>
  <c r="J281" i="14"/>
  <c r="P281" i="14" s="1"/>
  <c r="K281" i="14"/>
  <c r="Q281" i="14"/>
  <c r="E282" i="14"/>
  <c r="L282" i="14"/>
  <c r="R282" i="14" s="1"/>
  <c r="M282" i="14"/>
  <c r="S282" i="14" s="1"/>
  <c r="I282" i="14"/>
  <c r="O282" i="14" s="1"/>
  <c r="J282" i="14"/>
  <c r="P282" i="14" s="1"/>
  <c r="K282" i="14"/>
  <c r="Q282" i="14" s="1"/>
  <c r="T282" i="14"/>
  <c r="E283" i="14"/>
  <c r="L283" i="14"/>
  <c r="R283" i="14" s="1"/>
  <c r="M283" i="14"/>
  <c r="I283" i="14"/>
  <c r="O283" i="14" s="1"/>
  <c r="J283" i="14"/>
  <c r="P283" i="14" s="1"/>
  <c r="K283" i="14"/>
  <c r="Q283" i="14" s="1"/>
  <c r="S283" i="14"/>
  <c r="E284" i="14"/>
  <c r="K284" i="14" s="1"/>
  <c r="Q284" i="14" s="1"/>
  <c r="L284" i="14"/>
  <c r="R284" i="14" s="1"/>
  <c r="M284" i="14"/>
  <c r="S284" i="14" s="1"/>
  <c r="I284" i="14"/>
  <c r="O284" i="14" s="1"/>
  <c r="J284" i="14"/>
  <c r="P284" i="14" s="1"/>
  <c r="E285" i="14"/>
  <c r="K285" i="14" s="1"/>
  <c r="Q285" i="14" s="1"/>
  <c r="L285" i="14"/>
  <c r="R285" i="14" s="1"/>
  <c r="M285" i="14"/>
  <c r="S285" i="14" s="1"/>
  <c r="I285" i="14"/>
  <c r="J285" i="14"/>
  <c r="T285" i="14"/>
  <c r="O285" i="14"/>
  <c r="P285" i="14"/>
  <c r="E286" i="14"/>
  <c r="L286" i="14"/>
  <c r="R286" i="14" s="1"/>
  <c r="M286" i="14"/>
  <c r="S286" i="14" s="1"/>
  <c r="T286" i="14"/>
  <c r="I286" i="14"/>
  <c r="O286" i="14" s="1"/>
  <c r="J286" i="14"/>
  <c r="P286" i="14" s="1"/>
  <c r="K286" i="14"/>
  <c r="Q286" i="14" s="1"/>
  <c r="E287" i="14"/>
  <c r="L287" i="14"/>
  <c r="R287" i="14" s="1"/>
  <c r="M287" i="14"/>
  <c r="S287" i="14" s="1"/>
  <c r="I287" i="14"/>
  <c r="O287" i="14" s="1"/>
  <c r="J287" i="14"/>
  <c r="P287" i="14" s="1"/>
  <c r="K287" i="14"/>
  <c r="Q287" i="14" s="1"/>
  <c r="T287" i="14"/>
  <c r="E288" i="14"/>
  <c r="M288" i="14"/>
  <c r="S288" i="14" s="1"/>
  <c r="I288" i="14"/>
  <c r="O288" i="14" s="1"/>
  <c r="J288" i="14"/>
  <c r="P288" i="14" s="1"/>
  <c r="K288" i="14"/>
  <c r="Q288" i="14" s="1"/>
  <c r="L288" i="14"/>
  <c r="R288" i="14" s="1"/>
  <c r="T288" i="14"/>
  <c r="E289" i="14"/>
  <c r="L289" i="14"/>
  <c r="R289" i="14" s="1"/>
  <c r="M289" i="14"/>
  <c r="S289" i="14" s="1"/>
  <c r="I289" i="14"/>
  <c r="O289" i="14" s="1"/>
  <c r="J289" i="14"/>
  <c r="P289" i="14" s="1"/>
  <c r="K289" i="14"/>
  <c r="Q289" i="14" s="1"/>
  <c r="T289" i="14"/>
  <c r="E290" i="14"/>
  <c r="K290" i="14" s="1"/>
  <c r="Q290" i="14" s="1"/>
  <c r="L290" i="14"/>
  <c r="R290" i="14" s="1"/>
  <c r="M290" i="14"/>
  <c r="S290" i="14" s="1"/>
  <c r="T290" i="14"/>
  <c r="I290" i="14"/>
  <c r="O290" i="14" s="1"/>
  <c r="J290" i="14"/>
  <c r="P290" i="14"/>
  <c r="E291" i="14"/>
  <c r="K291" i="14" s="1"/>
  <c r="Q291" i="14" s="1"/>
  <c r="M291" i="14"/>
  <c r="S291" i="14" s="1"/>
  <c r="T291" i="14"/>
  <c r="I291" i="14"/>
  <c r="O291" i="14" s="1"/>
  <c r="J291" i="14"/>
  <c r="L291" i="14"/>
  <c r="R291" i="14" s="1"/>
  <c r="P291" i="14"/>
  <c r="E292" i="14"/>
  <c r="M292" i="14"/>
  <c r="S292" i="14" s="1"/>
  <c r="I292" i="14"/>
  <c r="O292" i="14" s="1"/>
  <c r="J292" i="14"/>
  <c r="P292" i="14" s="1"/>
  <c r="K292" i="14"/>
  <c r="Q292" i="14" s="1"/>
  <c r="L292" i="14"/>
  <c r="R292" i="14" s="1"/>
  <c r="E293" i="14"/>
  <c r="L293" i="14"/>
  <c r="R293" i="14" s="1"/>
  <c r="M293" i="14"/>
  <c r="S293" i="14" s="1"/>
  <c r="I293" i="14"/>
  <c r="O293" i="14" s="1"/>
  <c r="J293" i="14"/>
  <c r="P293" i="14" s="1"/>
  <c r="K293" i="14"/>
  <c r="Q293" i="14" s="1"/>
  <c r="T293" i="14"/>
  <c r="E294" i="14"/>
  <c r="K294" i="14" s="1"/>
  <c r="Q294" i="14" s="1"/>
  <c r="L294" i="14"/>
  <c r="R294" i="14" s="1"/>
  <c r="M294" i="14"/>
  <c r="S294" i="14" s="1"/>
  <c r="I294" i="14"/>
  <c r="O294" i="14" s="1"/>
  <c r="J294" i="14"/>
  <c r="P294" i="14" s="1"/>
  <c r="E295" i="14"/>
  <c r="K295" i="14" s="1"/>
  <c r="Q295" i="14" s="1"/>
  <c r="L295" i="14"/>
  <c r="R295" i="14" s="1"/>
  <c r="I295" i="14"/>
  <c r="O295" i="14" s="1"/>
  <c r="J295" i="14"/>
  <c r="P295" i="14" s="1"/>
  <c r="M295" i="14"/>
  <c r="S295" i="14" s="1"/>
  <c r="E296" i="14"/>
  <c r="K296" i="14" s="1"/>
  <c r="Q296" i="14" s="1"/>
  <c r="L296" i="14"/>
  <c r="R296" i="14" s="1"/>
  <c r="I296" i="14"/>
  <c r="O296" i="14" s="1"/>
  <c r="J296" i="14"/>
  <c r="P296" i="14" s="1"/>
  <c r="M296" i="14"/>
  <c r="S296" i="14" s="1"/>
  <c r="E297" i="14"/>
  <c r="K297" i="14" s="1"/>
  <c r="Q297" i="14" s="1"/>
  <c r="L297" i="14"/>
  <c r="R297" i="14" s="1"/>
  <c r="M297" i="14"/>
  <c r="S297" i="14" s="1"/>
  <c r="I297" i="14"/>
  <c r="O297" i="14" s="1"/>
  <c r="J297" i="14"/>
  <c r="P297" i="14" s="1"/>
  <c r="E298" i="14"/>
  <c r="K298" i="14" s="1"/>
  <c r="Q298" i="14" s="1"/>
  <c r="L298" i="14"/>
  <c r="R298" i="14" s="1"/>
  <c r="M298" i="14"/>
  <c r="S298" i="14" s="1"/>
  <c r="I298" i="14"/>
  <c r="O298" i="14" s="1"/>
  <c r="J298" i="14"/>
  <c r="P298" i="14" s="1"/>
  <c r="E299" i="14"/>
  <c r="K299" i="14" s="1"/>
  <c r="Q299" i="14" s="1"/>
  <c r="L299" i="14"/>
  <c r="R299" i="14" s="1"/>
  <c r="I299" i="14"/>
  <c r="O299" i="14" s="1"/>
  <c r="J299" i="14"/>
  <c r="P299" i="14" s="1"/>
  <c r="M299" i="14"/>
  <c r="S299" i="14" s="1"/>
  <c r="E300" i="14"/>
  <c r="K300" i="14" s="1"/>
  <c r="Q300" i="14" s="1"/>
  <c r="L300" i="14"/>
  <c r="R300" i="14" s="1"/>
  <c r="I300" i="14"/>
  <c r="O300" i="14" s="1"/>
  <c r="J300" i="14"/>
  <c r="P300" i="14" s="1"/>
  <c r="M300" i="14"/>
  <c r="S300" i="14" s="1"/>
  <c r="E301" i="14"/>
  <c r="K301" i="14" s="1"/>
  <c r="Q301" i="14" s="1"/>
  <c r="L301" i="14"/>
  <c r="R301" i="14" s="1"/>
  <c r="M301" i="14"/>
  <c r="S301" i="14" s="1"/>
  <c r="I301" i="14"/>
  <c r="O301" i="14" s="1"/>
  <c r="J301" i="14"/>
  <c r="P301" i="14" s="1"/>
  <c r="E302" i="14"/>
  <c r="K302" i="14" s="1"/>
  <c r="Q302" i="14" s="1"/>
  <c r="L302" i="14"/>
  <c r="R302" i="14" s="1"/>
  <c r="M302" i="14"/>
  <c r="S302" i="14" s="1"/>
  <c r="I302" i="14"/>
  <c r="O302" i="14" s="1"/>
  <c r="J302" i="14"/>
  <c r="P302" i="14" s="1"/>
  <c r="E303" i="14"/>
  <c r="K303" i="14" s="1"/>
  <c r="Q303" i="14" s="1"/>
  <c r="L303" i="14"/>
  <c r="R303" i="14" s="1"/>
  <c r="I303" i="14"/>
  <c r="O303" i="14" s="1"/>
  <c r="J303" i="14"/>
  <c r="P303" i="14" s="1"/>
  <c r="M303" i="14"/>
  <c r="S303" i="14" s="1"/>
  <c r="E304" i="14"/>
  <c r="K304" i="14" s="1"/>
  <c r="Q304" i="14" s="1"/>
  <c r="L304" i="14"/>
  <c r="R304" i="14" s="1"/>
  <c r="I304" i="14"/>
  <c r="O304" i="14" s="1"/>
  <c r="J304" i="14"/>
  <c r="P304" i="14" s="1"/>
  <c r="M304" i="14"/>
  <c r="S304" i="14" s="1"/>
  <c r="E305" i="14"/>
  <c r="K305" i="14" s="1"/>
  <c r="Q305" i="14" s="1"/>
  <c r="L305" i="14"/>
  <c r="R305" i="14" s="1"/>
  <c r="M305" i="14"/>
  <c r="S305" i="14" s="1"/>
  <c r="I305" i="14"/>
  <c r="O305" i="14" s="1"/>
  <c r="J305" i="14"/>
  <c r="P305" i="14" s="1"/>
  <c r="E306" i="14"/>
  <c r="K306" i="14" s="1"/>
  <c r="Q306" i="14" s="1"/>
  <c r="L306" i="14"/>
  <c r="R306" i="14" s="1"/>
  <c r="M306" i="14"/>
  <c r="S306" i="14" s="1"/>
  <c r="I306" i="14"/>
  <c r="O306" i="14" s="1"/>
  <c r="J306" i="14"/>
  <c r="P306" i="14" s="1"/>
  <c r="E307" i="14"/>
  <c r="K307" i="14" s="1"/>
  <c r="Q307" i="14" s="1"/>
  <c r="L307" i="14"/>
  <c r="R307" i="14" s="1"/>
  <c r="I307" i="14"/>
  <c r="O307" i="14" s="1"/>
  <c r="J307" i="14"/>
  <c r="P307" i="14" s="1"/>
  <c r="M307" i="14"/>
  <c r="S307" i="14" s="1"/>
  <c r="J148" i="14"/>
  <c r="P148" i="14" s="1"/>
  <c r="I148" i="14"/>
  <c r="O148" i="14" s="1"/>
  <c r="H246" i="17" l="1" a="1"/>
  <c r="H246" i="17" s="1"/>
  <c r="H226" i="17" a="1"/>
  <c r="H226" i="17" s="1"/>
  <c r="H214" i="17" a="1"/>
  <c r="H214" i="17" s="1"/>
  <c r="H198" i="17" a="1"/>
  <c r="H198" i="17" s="1"/>
  <c r="H182" i="17" a="1"/>
  <c r="H182" i="17" s="1"/>
  <c r="H170" i="17" a="1"/>
  <c r="H170" i="17" s="1"/>
  <c r="H150" i="17" a="1"/>
  <c r="H150" i="17" s="1"/>
  <c r="H261" i="17" a="1"/>
  <c r="H261" i="17" s="1"/>
  <c r="H257" i="17" a="1"/>
  <c r="H257" i="17" s="1"/>
  <c r="H253" i="17" a="1"/>
  <c r="H253" i="17" s="1"/>
  <c r="H249" i="17" a="1"/>
  <c r="H249" i="17" s="1"/>
  <c r="H245" i="17" a="1"/>
  <c r="H245" i="17" s="1"/>
  <c r="H241" i="17" a="1"/>
  <c r="H241" i="17" s="1"/>
  <c r="H237" i="17" a="1"/>
  <c r="H237" i="17" s="1"/>
  <c r="H233" i="17" a="1"/>
  <c r="H233" i="17" s="1"/>
  <c r="H229" i="17" a="1"/>
  <c r="H229" i="17" s="1"/>
  <c r="H225" i="17" a="1"/>
  <c r="H225" i="17" s="1"/>
  <c r="H221" i="17" a="1"/>
  <c r="H221" i="17" s="1"/>
  <c r="H217" i="17" a="1"/>
  <c r="H217" i="17" s="1"/>
  <c r="H213" i="17" a="1"/>
  <c r="H213" i="17" s="1"/>
  <c r="H209" i="17" a="1"/>
  <c r="H209" i="17" s="1"/>
  <c r="H205" i="17" a="1"/>
  <c r="H205" i="17" s="1"/>
  <c r="H201" i="17" a="1"/>
  <c r="H201" i="17" s="1"/>
  <c r="H197" i="17" a="1"/>
  <c r="H197" i="17" s="1"/>
  <c r="H193" i="17" a="1"/>
  <c r="H193" i="17" s="1"/>
  <c r="H189" i="17" a="1"/>
  <c r="H189" i="17" s="1"/>
  <c r="H185" i="17" a="1"/>
  <c r="H185" i="17" s="1"/>
  <c r="H181" i="17" a="1"/>
  <c r="H181" i="17" s="1"/>
  <c r="H177" i="17" a="1"/>
  <c r="H177" i="17" s="1"/>
  <c r="H173" i="17" a="1"/>
  <c r="H173" i="17" s="1"/>
  <c r="H169" i="17" a="1"/>
  <c r="H169" i="17" s="1"/>
  <c r="H165" i="17" a="1"/>
  <c r="H165" i="17" s="1"/>
  <c r="H161" i="17" a="1"/>
  <c r="H161" i="17" s="1"/>
  <c r="H157" i="17" a="1"/>
  <c r="H157" i="17" s="1"/>
  <c r="H153" i="17" a="1"/>
  <c r="H153" i="17" s="1"/>
  <c r="H149" i="17" a="1"/>
  <c r="H149" i="17" s="1"/>
  <c r="H258" i="17" a="1"/>
  <c r="H258" i="17" s="1"/>
  <c r="H250" i="17" a="1"/>
  <c r="H250" i="17" s="1"/>
  <c r="H230" i="17" a="1"/>
  <c r="H230" i="17" s="1"/>
  <c r="H218" i="17" a="1"/>
  <c r="H218" i="17" s="1"/>
  <c r="H202" i="17" a="1"/>
  <c r="H202" i="17" s="1"/>
  <c r="H186" i="17" a="1"/>
  <c r="H186" i="17" s="1"/>
  <c r="H166" i="17" a="1"/>
  <c r="H166" i="17" s="1"/>
  <c r="H154" i="17" a="1"/>
  <c r="H154" i="17" s="1"/>
  <c r="H260" i="17" a="1"/>
  <c r="H260" i="17" s="1"/>
  <c r="H256" i="17" a="1"/>
  <c r="H256" i="17" s="1"/>
  <c r="H252" i="17" a="1"/>
  <c r="H252" i="17" s="1"/>
  <c r="H248" i="17" a="1"/>
  <c r="H248" i="17" s="1"/>
  <c r="H244" i="17" a="1"/>
  <c r="H244" i="17" s="1"/>
  <c r="H240" i="17" a="1"/>
  <c r="H240" i="17" s="1"/>
  <c r="H236" i="17" a="1"/>
  <c r="H236" i="17" s="1"/>
  <c r="H232" i="17" a="1"/>
  <c r="H232" i="17" s="1"/>
  <c r="H228" i="17" a="1"/>
  <c r="H228" i="17" s="1"/>
  <c r="H224" i="17" a="1"/>
  <c r="H224" i="17" s="1"/>
  <c r="H220" i="17" a="1"/>
  <c r="H220" i="17" s="1"/>
  <c r="H216" i="17" a="1"/>
  <c r="H216" i="17" s="1"/>
  <c r="H212" i="17" a="1"/>
  <c r="H212" i="17" s="1"/>
  <c r="H208" i="17" a="1"/>
  <c r="H208" i="17" s="1"/>
  <c r="H204" i="17" a="1"/>
  <c r="H204" i="17" s="1"/>
  <c r="H200" i="17" a="1"/>
  <c r="H200" i="17" s="1"/>
  <c r="H196" i="17" a="1"/>
  <c r="H196" i="17" s="1"/>
  <c r="H192" i="17" a="1"/>
  <c r="H192" i="17" s="1"/>
  <c r="H188" i="17" a="1"/>
  <c r="H188" i="17" s="1"/>
  <c r="H184" i="17" a="1"/>
  <c r="H184" i="17" s="1"/>
  <c r="H180" i="17" a="1"/>
  <c r="H180" i="17" s="1"/>
  <c r="H176" i="17" a="1"/>
  <c r="H176" i="17" s="1"/>
  <c r="H172" i="17" a="1"/>
  <c r="H172" i="17" s="1"/>
  <c r="H168" i="17" a="1"/>
  <c r="H168" i="17" s="1"/>
  <c r="H164" i="17" a="1"/>
  <c r="H164" i="17" s="1"/>
  <c r="H160" i="17" a="1"/>
  <c r="H160" i="17" s="1"/>
  <c r="H156" i="17" a="1"/>
  <c r="H156" i="17" s="1"/>
  <c r="H152" i="17" a="1"/>
  <c r="H152" i="17" s="1"/>
  <c r="H262" i="17" a="1"/>
  <c r="H262" i="17" s="1"/>
  <c r="H254" i="17" a="1"/>
  <c r="H254" i="17" s="1"/>
  <c r="H242" i="17" a="1"/>
  <c r="H242" i="17" s="1"/>
  <c r="H238" i="17" a="1"/>
  <c r="H238" i="17" s="1"/>
  <c r="H234" i="17" a="1"/>
  <c r="H234" i="17" s="1"/>
  <c r="H222" i="17" a="1"/>
  <c r="H222" i="17" s="1"/>
  <c r="H210" i="17" a="1"/>
  <c r="H210" i="17" s="1"/>
  <c r="H206" i="17" a="1"/>
  <c r="H206" i="17" s="1"/>
  <c r="H194" i="17" a="1"/>
  <c r="H194" i="17" s="1"/>
  <c r="H190" i="17" a="1"/>
  <c r="H190" i="17" s="1"/>
  <c r="H178" i="17" a="1"/>
  <c r="H178" i="17" s="1"/>
  <c r="H174" i="17" a="1"/>
  <c r="H174" i="17" s="1"/>
  <c r="H162" i="17" a="1"/>
  <c r="H162" i="17" s="1"/>
  <c r="H158" i="17" a="1"/>
  <c r="H158" i="17" s="1"/>
  <c r="H259" i="17" a="1"/>
  <c r="H259" i="17" s="1"/>
  <c r="H255" i="17" a="1"/>
  <c r="H255" i="17" s="1"/>
  <c r="H251" i="17" a="1"/>
  <c r="H251" i="17" s="1"/>
  <c r="H247" i="17" a="1"/>
  <c r="H247" i="17" s="1"/>
  <c r="H243" i="17" a="1"/>
  <c r="H243" i="17" s="1"/>
  <c r="H239" i="17" a="1"/>
  <c r="H239" i="17" s="1"/>
  <c r="H235" i="17" a="1"/>
  <c r="H235" i="17" s="1"/>
  <c r="H231" i="17" a="1"/>
  <c r="H231" i="17" s="1"/>
  <c r="H227" i="17" a="1"/>
  <c r="H227" i="17" s="1"/>
  <c r="H223" i="17" a="1"/>
  <c r="H223" i="17" s="1"/>
  <c r="H219" i="17" a="1"/>
  <c r="H219" i="17" s="1"/>
  <c r="H215" i="17" a="1"/>
  <c r="H215" i="17" s="1"/>
  <c r="H211" i="17" a="1"/>
  <c r="H211" i="17" s="1"/>
  <c r="H207" i="17" a="1"/>
  <c r="H207" i="17" s="1"/>
  <c r="H203" i="17" a="1"/>
  <c r="H203" i="17" s="1"/>
  <c r="H199" i="17" a="1"/>
  <c r="H199" i="17" s="1"/>
  <c r="H195" i="17" a="1"/>
  <c r="H195" i="17" s="1"/>
  <c r="H191" i="17" a="1"/>
  <c r="H191" i="17" s="1"/>
  <c r="H187" i="17" a="1"/>
  <c r="H187" i="17" s="1"/>
  <c r="H183" i="17" a="1"/>
  <c r="H183" i="17" s="1"/>
  <c r="H179" i="17" a="1"/>
  <c r="H179" i="17" s="1"/>
  <c r="H175" i="17" a="1"/>
  <c r="H175" i="17" s="1"/>
  <c r="H171" i="17" a="1"/>
  <c r="H171" i="17" s="1"/>
  <c r="H167" i="17" a="1"/>
  <c r="H167" i="17" s="1"/>
  <c r="H163" i="17" a="1"/>
  <c r="H163" i="17" s="1"/>
  <c r="H159" i="17" a="1"/>
  <c r="H159" i="17" s="1"/>
  <c r="H155" i="17" a="1"/>
  <c r="H155" i="17" s="1"/>
  <c r="H151" i="17" a="1"/>
  <c r="H151" i="17" s="1"/>
  <c r="H264" i="17" a="1"/>
  <c r="H264" i="17" s="1"/>
  <c r="H268" i="17" a="1"/>
  <c r="H268" i="17" s="1"/>
  <c r="H272" i="17" a="1"/>
  <c r="H272" i="17" s="1"/>
  <c r="H276" i="17" a="1"/>
  <c r="H276" i="17" s="1"/>
  <c r="H280" i="17" a="1"/>
  <c r="H280" i="17" s="1"/>
  <c r="H284" i="17" a="1"/>
  <c r="H284" i="17" s="1"/>
  <c r="H288" i="17" a="1"/>
  <c r="H288" i="17" s="1"/>
  <c r="H292" i="17" a="1"/>
  <c r="H292" i="17" s="1"/>
  <c r="H296" i="17" a="1"/>
  <c r="H296" i="17" s="1"/>
  <c r="H300" i="17" a="1"/>
  <c r="H300" i="17" s="1"/>
  <c r="H304" i="17" a="1"/>
  <c r="H304" i="17" s="1"/>
  <c r="H308" i="17" a="1"/>
  <c r="H308" i="17" s="1"/>
  <c r="H265" i="17" a="1"/>
  <c r="H265" i="17" s="1"/>
  <c r="H269" i="17" a="1"/>
  <c r="H269" i="17" s="1"/>
  <c r="H273" i="17" a="1"/>
  <c r="H273" i="17" s="1"/>
  <c r="H277" i="17" a="1"/>
  <c r="H277" i="17" s="1"/>
  <c r="H281" i="17" a="1"/>
  <c r="H281" i="17" s="1"/>
  <c r="H285" i="17" a="1"/>
  <c r="H285" i="17" s="1"/>
  <c r="H289" i="17" a="1"/>
  <c r="H289" i="17" s="1"/>
  <c r="H293" i="17" a="1"/>
  <c r="H293" i="17" s="1"/>
  <c r="H297" i="17" a="1"/>
  <c r="H297" i="17" s="1"/>
  <c r="H301" i="17" a="1"/>
  <c r="H301" i="17" s="1"/>
  <c r="H305" i="17" a="1"/>
  <c r="H305" i="17" s="1"/>
  <c r="H266" i="17" a="1"/>
  <c r="H266" i="17" s="1"/>
  <c r="H270" i="17" a="1"/>
  <c r="H270" i="17" s="1"/>
  <c r="H274" i="17" a="1"/>
  <c r="H274" i="17" s="1"/>
  <c r="H278" i="17" a="1"/>
  <c r="H278" i="17" s="1"/>
  <c r="H282" i="17" a="1"/>
  <c r="H282" i="17" s="1"/>
  <c r="H286" i="17" a="1"/>
  <c r="H286" i="17" s="1"/>
  <c r="H290" i="17" a="1"/>
  <c r="H290" i="17" s="1"/>
  <c r="H294" i="17" a="1"/>
  <c r="H294" i="17" s="1"/>
  <c r="H298" i="17" a="1"/>
  <c r="H298" i="17" s="1"/>
  <c r="H302" i="17" a="1"/>
  <c r="H302" i="17" s="1"/>
  <c r="H306" i="17" a="1"/>
  <c r="H306" i="17" s="1"/>
  <c r="H263" i="17" a="1"/>
  <c r="H263" i="17" s="1"/>
  <c r="H267" i="17" a="1"/>
  <c r="H267" i="17" s="1"/>
  <c r="H271" i="17" a="1"/>
  <c r="H271" i="17" s="1"/>
  <c r="H275" i="17" a="1"/>
  <c r="H275" i="17" s="1"/>
  <c r="H279" i="17" a="1"/>
  <c r="H279" i="17" s="1"/>
  <c r="H283" i="17" a="1"/>
  <c r="H283" i="17" s="1"/>
  <c r="H287" i="17" a="1"/>
  <c r="H287" i="17" s="1"/>
  <c r="H291" i="17" a="1"/>
  <c r="H291" i="17" s="1"/>
  <c r="H295" i="17" a="1"/>
  <c r="H295" i="17" s="1"/>
  <c r="H299" i="17" a="1"/>
  <c r="H299" i="17" s="1"/>
  <c r="H303" i="17" a="1"/>
  <c r="H303" i="17" s="1"/>
  <c r="H307" i="17" a="1"/>
  <c r="H307" i="17" s="1"/>
  <c r="P316" i="14"/>
  <c r="K189" i="14"/>
  <c r="Q189" i="14" s="1"/>
  <c r="T307" i="14"/>
  <c r="T306" i="14"/>
  <c r="T305" i="14"/>
  <c r="T304" i="14"/>
  <c r="T303" i="14"/>
  <c r="T302" i="14"/>
  <c r="T301" i="14"/>
  <c r="T300" i="14"/>
  <c r="T299" i="14"/>
  <c r="T298" i="14"/>
  <c r="T297" i="14"/>
  <c r="T296" i="14"/>
  <c r="T295" i="14"/>
  <c r="T294" i="14"/>
  <c r="K221" i="14"/>
  <c r="Q221" i="14" s="1"/>
  <c r="K217" i="14"/>
  <c r="Q217" i="14" s="1"/>
  <c r="K213" i="14"/>
  <c r="Q213" i="14" s="1"/>
  <c r="K209" i="14"/>
  <c r="Q209" i="14" s="1"/>
  <c r="K205" i="14"/>
  <c r="Q205" i="14" s="1"/>
  <c r="K201" i="14"/>
  <c r="Q201" i="14" s="1"/>
  <c r="K197" i="14"/>
  <c r="Q197" i="14" s="1"/>
  <c r="T220" i="14"/>
  <c r="T216" i="14"/>
  <c r="T212" i="14"/>
  <c r="T208" i="14"/>
  <c r="T204" i="14"/>
  <c r="T200" i="14"/>
  <c r="T167" i="14"/>
  <c r="K167" i="14"/>
  <c r="Q167" i="14" s="1"/>
  <c r="T172" i="14"/>
  <c r="K172" i="14"/>
  <c r="Q172" i="14" s="1"/>
  <c r="T164" i="14"/>
  <c r="K164" i="14"/>
  <c r="Q164" i="14" s="1"/>
  <c r="T161" i="14"/>
  <c r="K161" i="14"/>
  <c r="Q161" i="14" s="1"/>
  <c r="T169" i="14"/>
  <c r="K169" i="14"/>
  <c r="Q169" i="14" s="1"/>
  <c r="T186" i="14"/>
  <c r="K186" i="14"/>
  <c r="Q186" i="14" s="1"/>
  <c r="T184" i="14"/>
  <c r="K184" i="14"/>
  <c r="Q184" i="14" s="1"/>
  <c r="T182" i="14"/>
  <c r="K182" i="14"/>
  <c r="Q182" i="14" s="1"/>
  <c r="T180" i="14"/>
  <c r="K180" i="14"/>
  <c r="Q180" i="14" s="1"/>
  <c r="T178" i="14"/>
  <c r="K178" i="14"/>
  <c r="Q178" i="14" s="1"/>
  <c r="T176" i="14"/>
  <c r="K176" i="14"/>
  <c r="Q176" i="14" s="1"/>
  <c r="T174" i="14"/>
  <c r="K174" i="14"/>
  <c r="Q174" i="14" s="1"/>
  <c r="T166" i="14"/>
  <c r="K166" i="14"/>
  <c r="Q166" i="14" s="1"/>
  <c r="T160" i="14"/>
  <c r="K160" i="14"/>
  <c r="Q160" i="14" s="1"/>
  <c r="T171" i="14"/>
  <c r="K171" i="14"/>
  <c r="Q171" i="14" s="1"/>
  <c r="T163" i="14"/>
  <c r="K163" i="14"/>
  <c r="Q163" i="14" s="1"/>
  <c r="T168" i="14"/>
  <c r="K168" i="14"/>
  <c r="Q168" i="14" s="1"/>
  <c r="T173" i="14"/>
  <c r="K173" i="14"/>
  <c r="Q173" i="14" s="1"/>
  <c r="T165" i="14"/>
  <c r="K165" i="14"/>
  <c r="Q165" i="14" s="1"/>
  <c r="T187" i="14"/>
  <c r="K187" i="14"/>
  <c r="Q187" i="14" s="1"/>
  <c r="T185" i="14"/>
  <c r="K185" i="14"/>
  <c r="Q185" i="14" s="1"/>
  <c r="T183" i="14"/>
  <c r="K183" i="14"/>
  <c r="Q183" i="14" s="1"/>
  <c r="T181" i="14"/>
  <c r="K181" i="14"/>
  <c r="Q181" i="14" s="1"/>
  <c r="T179" i="14"/>
  <c r="K179" i="14"/>
  <c r="Q179" i="14" s="1"/>
  <c r="T177" i="14"/>
  <c r="K177" i="14"/>
  <c r="Q177" i="14" s="1"/>
  <c r="T175" i="14"/>
  <c r="K175" i="14"/>
  <c r="Q175" i="14" s="1"/>
  <c r="T170" i="14"/>
  <c r="K170" i="14"/>
  <c r="Q170" i="14" s="1"/>
  <c r="T162" i="14"/>
  <c r="K162" i="14"/>
  <c r="Q162" i="14" s="1"/>
  <c r="K159" i="14"/>
  <c r="Q159" i="14" s="1"/>
  <c r="K158" i="14"/>
  <c r="Q158" i="14" s="1"/>
  <c r="K157" i="14"/>
  <c r="Q157" i="14" s="1"/>
  <c r="K156" i="14"/>
  <c r="Q156" i="14" s="1"/>
  <c r="K155" i="14"/>
  <c r="Q155" i="14" s="1"/>
  <c r="K154" i="14"/>
  <c r="Q154" i="14" s="1"/>
  <c r="K153" i="14"/>
  <c r="Q153" i="14" s="1"/>
  <c r="K152" i="14"/>
  <c r="Q152" i="14" s="1"/>
  <c r="K151" i="14"/>
  <c r="Q151" i="14" s="1"/>
  <c r="K150" i="14"/>
  <c r="Q150" i="14" s="1"/>
  <c r="K149" i="14"/>
  <c r="Q149" i="14" s="1"/>
  <c r="M148" i="14" l="1"/>
  <c r="S148" i="14" s="1"/>
  <c r="S316" i="14" s="1"/>
  <c r="R148" i="14"/>
  <c r="R316" i="14" l="1"/>
  <c r="K148" i="14"/>
  <c r="Q148" i="14" s="1"/>
  <c r="Q316" i="14" s="1"/>
  <c r="T148" i="14"/>
  <c r="T316"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<sst xmlns="http://schemas.openxmlformats.org/spreadsheetml/2006/main" count="127" uniqueCount="71">
  <si>
    <t/>
  </si>
  <si>
    <t>Periodo</t>
  </si>
  <si>
    <t>1.IPC General</t>
  </si>
  <si>
    <t>1.En 11 meses (variación 12 meses)</t>
  </si>
  <si>
    <t>1.Expectativas - Inflación esperada 12 meses IMCE Industria</t>
  </si>
  <si>
    <t>Rezago 1</t>
  </si>
  <si>
    <t>Rezago 2</t>
  </si>
  <si>
    <t>Error</t>
  </si>
  <si>
    <t>RECM</t>
  </si>
  <si>
    <t>Resumen</t>
  </si>
  <si>
    <t>Estadísticas de la regresión</t>
  </si>
  <si>
    <t>Coeficiente de correlación múltiple</t>
  </si>
  <si>
    <t>Coeficiente de determinación R^2</t>
  </si>
  <si>
    <t>R^2  ajustado</t>
  </si>
  <si>
    <t>Error típico</t>
  </si>
  <si>
    <t>Observaciones</t>
  </si>
  <si>
    <t>ANÁLISIS DE VARIANZA</t>
  </si>
  <si>
    <t>Regresión</t>
  </si>
  <si>
    <t>Residuos</t>
  </si>
  <si>
    <t>Total</t>
  </si>
  <si>
    <t>Intercepción</t>
  </si>
  <si>
    <t>Grados de libertad</t>
  </si>
  <si>
    <t>Suma de cuadrados</t>
  </si>
  <si>
    <t>Promedio de los cuadrados</t>
  </si>
  <si>
    <t>F</t>
  </si>
  <si>
    <t>Valor crítico de F</t>
  </si>
  <si>
    <t>Coeficientes</t>
  </si>
  <si>
    <t>Estadístico t</t>
  </si>
  <si>
    <t>Probabilidad</t>
  </si>
  <si>
    <t>Inferior 95%</t>
  </si>
  <si>
    <t>Superior 95%</t>
  </si>
  <si>
    <t>Inferior 95,0%</t>
  </si>
  <si>
    <t>Superior 95,0%</t>
  </si>
  <si>
    <t>Variable X 1</t>
  </si>
  <si>
    <t>RECM IMCE</t>
  </si>
  <si>
    <t>RECM EEE</t>
  </si>
  <si>
    <t>AR(2)</t>
  </si>
  <si>
    <t>IPC (-2)</t>
  </si>
  <si>
    <t>IPC (-1)</t>
  </si>
  <si>
    <t>IPC General</t>
  </si>
  <si>
    <t>REMC PROYECTO ANTERIOR</t>
  </si>
  <si>
    <t>REMC PROYECTO ACTUAL</t>
  </si>
  <si>
    <t>REMC</t>
  </si>
  <si>
    <t>REMC NOWCAST</t>
  </si>
  <si>
    <t>REMC PRÓNOSTICO</t>
  </si>
  <si>
    <t>PREGUNTA</t>
  </si>
  <si>
    <t>RESPUESTA</t>
  </si>
  <si>
    <t>Error al cuadrado</t>
  </si>
  <si>
    <t>Pronóstico Expectativas - Inflación esperada 12 meses IMCE Industria</t>
  </si>
  <si>
    <t>Pronóstico Last Observation</t>
  </si>
  <si>
    <t>Pronóstico Historical Mean Forecast</t>
  </si>
  <si>
    <t xml:space="preserve"> Pronóstico Mean Last 50 Observation</t>
  </si>
  <si>
    <t>Pronóstico 3% Forecast</t>
  </si>
  <si>
    <t>Pronóstico en 11 meses (variación 12 meses) - EEE</t>
  </si>
  <si>
    <t>Error de Pronóstico Expectativas - Inflación esperada 12 meses IMCE Industria</t>
  </si>
  <si>
    <t>Error de Pronóstico en 11 meses (variación 12 meses) - EEE</t>
  </si>
  <si>
    <t>Error de Pronóstico Last Observation</t>
  </si>
  <si>
    <t xml:space="preserve">Error de Pronóstico Historical Mean </t>
  </si>
  <si>
    <t>Error de Pronóstico Mean Last 50 Observation</t>
  </si>
  <si>
    <t>Error de Pronóstico 3% Forecast</t>
  </si>
  <si>
    <t>Error Cuadrado de Pronóstico en 11 meses (variación 12 meses) - EEE</t>
  </si>
  <si>
    <t>Error Cuadrado de Pronóstico Expectativas - Inflación esperada 12 meses IMCE Industria</t>
  </si>
  <si>
    <t>Error Cuadrado de Pronóstico Last Observation</t>
  </si>
  <si>
    <t>Error Cuadrado de Pronóstico Historical Mean</t>
  </si>
  <si>
    <t>Error Cuadrado de Pronóstico Mean Last 50 Observation</t>
  </si>
  <si>
    <t>Error Cuadrado de Pronóstico 3% Forecast</t>
  </si>
  <si>
    <t>Constante</t>
  </si>
  <si>
    <t>Y(-2)</t>
  </si>
  <si>
    <t>Y(-1)</t>
  </si>
  <si>
    <t>Es más preciso que todos los pronósticos del Nowcast.</t>
  </si>
  <si>
    <t>Variable X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</si>
</sst>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yyyy"/>
    <numFmt numFmtId="165" formatCode="0.00000"/>
    <numFmt numFmtId="166" formatCode="0.000"/>
    <numFmt numFmtId="167" formatCode="0.0000"/>
    <numFmt numFmtId="168" formatCode="#,##0.0000"/>
  </numFmts>
  <fonts count="7" x14ac:knownFonts="1">
    <font>
      <sz val="11"/>
      <color rgb="FF000000"/>
      <name val="Calibri"/>
    </font>
    <font>
      <b/>
      <sz val="12"/>
      <color rgb="FF000000"/>
      <name val="Calibri"/>
      <family val="2"/>
    </font>
    <font>
      <sz val="11"/>
      <color rgb="FF000000"/>
      <name val="Calibri"/>
      <family val="2"/>
    </font>
    <font>
      <b/>
      <sz val="11"/>
      <color rgb="FF000000"/>
      <name val="Calibri"/>
      <family val="2"/>
    </font>
    <font>
      <sz val="8"/>
      <name val="Calibri"/>
      <family val="2"/>
    </font>
    <font>
      <i/>
      <sz val="11"/>
      <color rgb="FF000000"/>
      <name val="Calibri"/>
      <family val="2"/>
    </font>
    <font>
      <sz val="11"/>
      <color theme="1"/>
      <name val="Calibri"/>
      <family val="2"/>
    </font>
  </fonts>
  <fills count="8">
    <fill>
      <patternFill patternType="none"/>
    </fill>
    <fill>
      <patternFill patternType="gray125"/>
    </fill>
    <fill>
      <patternFill patternType="solid">
        <fgColor theme="8" tint="0.59999389629810485"/>
        <bgColor indexed="64"/>
      </patternFill>
    </fill>
    <fill>
      <patternFill patternType="solid">
        <fgColor theme="8"/>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499984740745262"/>
        <bgColor indexed="64"/>
      </patternFill>
    </fill>
    <fill>
      <patternFill patternType="solid">
        <fgColor theme="0" tint="-0.14999847407452621"/>
        <bgColor indexed="64"/>
      </patternFill>
    </fill>
  </fills>
  <borders count="23">
    <border>
      <left/>
      <right/>
      <top/>
      <bottom/>
      <diagonal/>
    </border>
    <border>
      <left style="thin">
        <color auto="1"/>
      </left>
      <right style="thin">
        <color auto="1"/>
      </right>
      <top style="thin">
        <color auto="1"/>
      </top>
      <bottom style="thin">
        <color auto="1"/>
      </bottom>
      <diagonal style="thin">
        <color auto="1"/>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right/>
      <top style="thin">
        <color auto="1"/>
      </top>
      <bottom/>
      <diagonal/>
    </border>
    <border>
      <left style="thin">
        <color auto="1"/>
      </left>
      <right/>
      <top style="thin">
        <color auto="1"/>
      </top>
      <bottom style="thin">
        <color auto="1"/>
      </bottom>
      <diagonal style="thin">
        <color auto="1"/>
      </diagonal>
    </border>
    <border>
      <left/>
      <right style="thin">
        <color auto="1"/>
      </right>
      <top style="thin">
        <color auto="1"/>
      </top>
      <bottom style="thin">
        <color auto="1"/>
      </bottom>
      <diagonal style="thin">
        <color auto="1"/>
      </diagonal>
    </border>
    <border>
      <left style="thin">
        <color auto="1"/>
      </left>
      <right style="thin">
        <color auto="1"/>
      </right>
      <top style="thin">
        <color auto="1"/>
      </top>
      <bottom/>
      <diagonal style="thin">
        <color auto="1"/>
      </diagonal>
    </border>
    <border>
      <left style="thin">
        <color auto="1"/>
      </left>
      <right style="thin">
        <color auto="1"/>
      </right>
      <top/>
      <bottom style="thin">
        <color auto="1"/>
      </bottom>
      <diagonal style="thin">
        <color auto="1"/>
      </diagonal>
    </border>
    <border>
      <left style="thin">
        <color auto="1"/>
      </left>
      <right/>
      <top style="thin">
        <color auto="1"/>
      </top>
      <bottom/>
      <diagonal style="thin">
        <color auto="1"/>
      </diagonal>
    </border>
    <border>
      <left/>
      <right/>
      <top/>
      <bottom/>
      <diagonal style="thin">
        <color auto="1"/>
      </diagonal>
    </border>
    <border>
      <left/>
      <right/>
      <top style="thin">
        <color auto="1"/>
      </top>
      <bottom/>
      <diagonal style="thin">
        <color auto="1"/>
      </diagonal>
    </border>
    <border>
      <left style="thin">
        <color auto="1"/>
      </left>
      <right style="thin">
        <color auto="1"/>
      </right>
      <top/>
      <bottom/>
      <diagonal style="thin">
        <color auto="1"/>
      </diagonal>
    </border>
    <border>
      <left style="medium">
        <color indexed="64"/>
      </left>
      <right/>
      <top style="medium">
        <color indexed="64"/>
      </top>
      <bottom/>
      <diagonal/>
    </border>
    <border>
      <left/>
      <right style="medium">
        <color indexed="64"/>
      </right>
      <top style="medium">
        <color indexed="64"/>
      </top>
      <bottom/>
      <diagonal/>
    </border>
    <border>
      <left style="thin">
        <color auto="1"/>
      </left>
      <right/>
      <top/>
      <bottom/>
      <diagonal/>
    </border>
    <border>
      <left style="thin">
        <color auto="1"/>
      </left>
      <right/>
      <top/>
      <bottom/>
      <diagonal style="thin">
        <color auto="1"/>
      </diagonal>
    </border>
  </borders>
  <cellStyleXfs count="2">
    <xf numFmtId="0" fontId="0" fillId="0" borderId="0"/>
    <xf numFmtId="0" fontId="2" fillId="0" borderId="0"/>
  </cellStyleXfs>
  <cellXfs count="93">
    <xf numFmtId="0" fontId="0" fillId="0" borderId="0" xfId="0"/>
    <xf numFmtId="4" fontId="0" fillId="0" borderId="1" xfId="0" applyNumberFormat="1" applyBorder="1" applyAlignment="1">
      <alignment horizontal="right" vertical="center"/>
    </xf>
    <xf numFmtId="166" fontId="3" fillId="0" borderId="0" xfId="0" applyNumberFormat="1" applyFont="1"/>
    <xf numFmtId="0" fontId="2" fillId="0" borderId="0" xfId="0" applyFont="1"/>
    <xf numFmtId="165" fontId="3" fillId="0" borderId="0" xfId="0" applyNumberFormat="1" applyFont="1"/>
    <xf numFmtId="0" fontId="0" fillId="0" borderId="0" xfId="0" applyAlignment="1">
      <alignment horizontal="center"/>
    </xf>
    <xf numFmtId="0" fontId="0" fillId="0" borderId="0" xfId="0" applyAlignment="1">
      <alignment horizontal="center" vertical="center"/>
    </xf>
    <xf numFmtId="4" fontId="0" fillId="0" borderId="0" xfId="0" applyNumberFormat="1"/>
    <xf numFmtId="4" fontId="2" fillId="0" borderId="0" xfId="0" applyNumberFormat="1" applyFont="1"/>
    <xf numFmtId="0" fontId="3" fillId="0" borderId="0" xfId="0" applyFont="1"/>
    <xf numFmtId="0" fontId="0" fillId="0" borderId="8" xfId="0" applyBorder="1"/>
    <xf numFmtId="0" fontId="2" fillId="0" borderId="0" xfId="1"/>
    <xf numFmtId="4" fontId="0" fillId="0" borderId="0" xfId="0" applyNumberFormat="1" applyAlignment="1">
      <alignment horizontal="right" vertical="center"/>
    </xf>
    <xf numFmtId="0" fontId="0" fillId="0" borderId="10" xfId="0" applyBorder="1"/>
    <xf numFmtId="165" fontId="3" fillId="0" borderId="0" xfId="1" applyNumberFormat="1" applyFont="1"/>
    <xf numFmtId="4" fontId="2" fillId="0" borderId="12" xfId="1" applyNumberFormat="1" applyBorder="1" applyAlignment="1">
      <alignment horizontal="right" vertical="center"/>
    </xf>
    <xf numFmtId="4" fontId="2" fillId="0" borderId="1" xfId="1" applyNumberFormat="1" applyBorder="1" applyAlignment="1">
      <alignment horizontal="right" vertical="center"/>
    </xf>
    <xf numFmtId="4" fontId="2" fillId="0" borderId="13" xfId="1" applyNumberFormat="1" applyBorder="1" applyAlignment="1">
      <alignment horizontal="right" vertical="center"/>
    </xf>
    <xf numFmtId="4" fontId="0" fillId="2" borderId="2" xfId="0" applyNumberFormat="1" applyFill="1" applyBorder="1"/>
    <xf numFmtId="0" fontId="0" fillId="2" borderId="2" xfId="0" applyFill="1" applyBorder="1"/>
    <xf numFmtId="0" fontId="1" fillId="2" borderId="1" xfId="0" applyFont="1" applyFill="1" applyBorder="1" applyAlignment="1">
      <alignment horizontal="center" vertical="center" wrapText="1"/>
    </xf>
    <xf numFmtId="4" fontId="0" fillId="0" borderId="17" xfId="0" applyNumberFormat="1" applyBorder="1" applyAlignment="1">
      <alignment horizontal="right" vertical="center"/>
    </xf>
    <xf numFmtId="0" fontId="3" fillId="3" borderId="19" xfId="0" applyFont="1" applyFill="1" applyBorder="1"/>
    <xf numFmtId="4" fontId="0" fillId="0" borderId="11" xfId="0" applyNumberFormat="1" applyBorder="1" applyAlignment="1">
      <alignment horizontal="right" vertical="center"/>
    </xf>
    <xf numFmtId="0" fontId="0" fillId="0" borderId="2" xfId="0" applyBorder="1"/>
    <xf numFmtId="4" fontId="0" fillId="0" borderId="2" xfId="0" applyNumberFormat="1" applyBorder="1"/>
    <xf numFmtId="2" fontId="0" fillId="0" borderId="2" xfId="0" applyNumberFormat="1" applyBorder="1"/>
    <xf numFmtId="0" fontId="2" fillId="2" borderId="7" xfId="1" applyFill="1" applyBorder="1" applyAlignment="1">
      <alignment horizontal="left"/>
    </xf>
    <xf numFmtId="4" fontId="0" fillId="4" borderId="2" xfId="0" applyNumberFormat="1" applyFill="1" applyBorder="1"/>
    <xf numFmtId="0" fontId="1" fillId="5" borderId="2" xfId="0" applyFont="1" applyFill="1" applyBorder="1" applyAlignment="1">
      <alignment horizontal="center" vertical="center" wrapText="1"/>
    </xf>
    <xf numFmtId="4" fontId="0" fillId="5" borderId="2" xfId="0" applyNumberFormat="1" applyFill="1" applyBorder="1"/>
    <xf numFmtId="4" fontId="0" fillId="6" borderId="1" xfId="0" applyNumberFormat="1" applyFill="1" applyBorder="1" applyAlignment="1">
      <alignment horizontal="right" vertical="center"/>
    </xf>
    <xf numFmtId="4" fontId="0" fillId="7" borderId="1" xfId="0" applyNumberFormat="1" applyFill="1" applyBorder="1" applyAlignment="1">
      <alignment horizontal="right" vertical="center"/>
    </xf>
    <xf numFmtId="164" fontId="3" fillId="6" borderId="1" xfId="0" applyNumberFormat="1" applyFont="1" applyFill="1" applyBorder="1"/>
    <xf numFmtId="0" fontId="0" fillId="7" borderId="1" xfId="0" applyFill="1" applyBorder="1" applyAlignment="1">
      <alignment horizontal="left" vertical="center"/>
    </xf>
    <xf numFmtId="4" fontId="0" fillId="7" borderId="11" xfId="0" applyNumberFormat="1" applyFill="1" applyBorder="1" applyAlignment="1">
      <alignment horizontal="right" vertical="center"/>
    </xf>
    <xf numFmtId="4" fontId="0" fillId="6" borderId="11" xfId="0" applyNumberFormat="1" applyFill="1" applyBorder="1" applyAlignment="1">
      <alignment horizontal="right" vertical="center"/>
    </xf>
    <xf numFmtId="4" fontId="0" fillId="7" borderId="14" xfId="0" applyNumberFormat="1" applyFill="1" applyBorder="1" applyAlignment="1">
      <alignment horizontal="right" vertical="center"/>
    </xf>
    <xf numFmtId="0" fontId="3" fillId="3" borderId="7" xfId="1" applyFont="1" applyFill="1" applyBorder="1"/>
    <xf numFmtId="0" fontId="3" fillId="3" borderId="4" xfId="1" applyFont="1" applyFill="1" applyBorder="1"/>
    <xf numFmtId="0" fontId="2" fillId="3" borderId="6" xfId="1" applyFill="1" applyBorder="1"/>
    <xf numFmtId="0" fontId="2" fillId="3" borderId="7" xfId="1" applyFill="1" applyBorder="1"/>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164" fontId="3" fillId="3" borderId="1" xfId="0" applyNumberFormat="1" applyFont="1" applyFill="1" applyBorder="1"/>
    <xf numFmtId="0" fontId="2" fillId="3" borderId="4" xfId="0" applyFont="1" applyFill="1" applyBorder="1"/>
    <xf numFmtId="0" fontId="0" fillId="3" borderId="5" xfId="0" applyFill="1" applyBorder="1"/>
    <xf numFmtId="0" fontId="0" fillId="3" borderId="6" xfId="0" applyFill="1" applyBorder="1"/>
    <xf numFmtId="4" fontId="2" fillId="3" borderId="7" xfId="1" applyNumberFormat="1" applyFill="1" applyBorder="1"/>
    <xf numFmtId="4" fontId="2" fillId="3" borderId="6" xfId="1" applyNumberFormat="1" applyFill="1" applyBorder="1"/>
    <xf numFmtId="0" fontId="1" fillId="3" borderId="1" xfId="1" applyFont="1" applyFill="1" applyBorder="1" applyAlignment="1">
      <alignment horizontal="center" vertical="center" wrapText="1"/>
    </xf>
    <xf numFmtId="0" fontId="3" fillId="4" borderId="3" xfId="0" applyFont="1" applyFill="1" applyBorder="1"/>
    <xf numFmtId="167" fontId="6" fillId="4" borderId="7" xfId="0" applyNumberFormat="1" applyFont="1" applyFill="1" applyBorder="1"/>
    <xf numFmtId="167" fontId="6" fillId="4" borderId="6" xfId="0" applyNumberFormat="1" applyFont="1" applyFill="1" applyBorder="1"/>
    <xf numFmtId="167" fontId="6" fillId="4" borderId="5" xfId="0" applyNumberFormat="1" applyFont="1" applyFill="1" applyBorder="1"/>
    <xf numFmtId="164" fontId="3" fillId="3" borderId="14" xfId="0" applyNumberFormat="1" applyFont="1" applyFill="1" applyBorder="1"/>
    <xf numFmtId="168" fontId="0" fillId="4" borderId="7" xfId="0" applyNumberFormat="1" applyFill="1" applyBorder="1" applyAlignment="1">
      <alignment horizontal="right"/>
    </xf>
    <xf numFmtId="168" fontId="0" fillId="4" borderId="7" xfId="0" applyNumberFormat="1" applyFill="1" applyBorder="1"/>
    <xf numFmtId="0" fontId="0" fillId="6" borderId="0" xfId="0" applyFill="1"/>
    <xf numFmtId="0" fontId="5" fillId="6" borderId="9" xfId="0" applyFont="1" applyFill="1" applyBorder="1" applyAlignment="1">
      <alignment horizontal="centerContinuous"/>
    </xf>
    <xf numFmtId="0" fontId="5" fillId="6" borderId="9" xfId="0" applyFont="1" applyFill="1" applyBorder="1" applyAlignment="1">
      <alignment horizontal="center"/>
    </xf>
    <xf numFmtId="0" fontId="0" fillId="6" borderId="8" xfId="0" applyFill="1" applyBorder="1"/>
    <xf numFmtId="0" fontId="3" fillId="5"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1" fillId="3" borderId="11" xfId="1" applyFont="1" applyFill="1" applyBorder="1" applyAlignment="1">
      <alignment horizontal="center" vertical="center" wrapText="1"/>
    </xf>
    <xf numFmtId="4" fontId="2" fillId="6" borderId="1" xfId="1" applyNumberFormat="1" applyFill="1" applyBorder="1" applyAlignment="1">
      <alignment horizontal="right" vertical="center"/>
    </xf>
    <xf numFmtId="164" fontId="3" fillId="3" borderId="1" xfId="1" applyNumberFormat="1" applyFont="1" applyFill="1" applyBorder="1"/>
    <xf numFmtId="164" fontId="3" fillId="3" borderId="11" xfId="1" applyNumberFormat="1" applyFont="1" applyFill="1" applyBorder="1"/>
    <xf numFmtId="164" fontId="3" fillId="6" borderId="1" xfId="1" applyNumberFormat="1" applyFont="1" applyFill="1" applyBorder="1"/>
    <xf numFmtId="4" fontId="2" fillId="7" borderId="1" xfId="1" applyNumberFormat="1" applyFill="1" applyBorder="1" applyAlignment="1">
      <alignment horizontal="right" vertical="center"/>
    </xf>
    <xf numFmtId="0" fontId="2" fillId="7" borderId="1" xfId="1" applyFill="1" applyBorder="1" applyAlignment="1">
      <alignment horizontal="left" vertical="center"/>
    </xf>
    <xf numFmtId="0" fontId="2" fillId="0" borderId="21" xfId="1" applyBorder="1"/>
    <xf numFmtId="0" fontId="2" fillId="0" borderId="2" xfId="1" applyBorder="1"/>
    <xf numFmtId="4" fontId="2" fillId="7" borderId="11" xfId="1" applyNumberFormat="1" applyFill="1" applyBorder="1" applyAlignment="1">
      <alignment horizontal="right" vertical="center"/>
    </xf>
    <xf numFmtId="4" fontId="2" fillId="0" borderId="11" xfId="1" applyNumberFormat="1" applyBorder="1" applyAlignment="1">
      <alignment horizontal="right" vertical="center"/>
    </xf>
    <xf numFmtId="4" fontId="2" fillId="0" borderId="2" xfId="1" applyNumberFormat="1" applyBorder="1"/>
    <xf numFmtId="0" fontId="5" fillId="0" borderId="0" xfId="0" applyFont="1" applyAlignment="1">
      <alignment horizontal="centerContinuous"/>
    </xf>
    <xf numFmtId="0" fontId="5" fillId="0" borderId="0" xfId="0" applyFont="1" applyAlignment="1">
      <alignment horizontal="center"/>
    </xf>
    <xf numFmtId="167" fontId="0" fillId="3" borderId="20" xfId="0" applyNumberFormat="1" applyFill="1" applyBorder="1"/>
    <xf numFmtId="0" fontId="3" fillId="0" borderId="0" xfId="1" applyFont="1"/>
    <xf numFmtId="2" fontId="2" fillId="6" borderId="2" xfId="1" applyNumberFormat="1" applyFill="1" applyBorder="1"/>
    <xf numFmtId="0" fontId="1" fillId="0" borderId="13" xfId="0" applyFont="1" applyBorder="1" applyAlignment="1">
      <alignment horizontal="left" vertical="center"/>
    </xf>
    <xf numFmtId="0" fontId="1" fillId="0" borderId="15" xfId="0" applyFont="1" applyBorder="1" applyAlignment="1">
      <alignment horizontal="left" vertical="center"/>
    </xf>
    <xf numFmtId="0" fontId="1" fillId="0" borderId="16" xfId="0" applyFont="1" applyBorder="1" applyAlignment="1">
      <alignment horizontal="left" vertical="center"/>
    </xf>
    <xf numFmtId="0" fontId="1" fillId="0" borderId="18" xfId="0" applyFont="1" applyBorder="1" applyAlignment="1">
      <alignment horizontal="left" vertical="center"/>
    </xf>
    <xf numFmtId="0" fontId="1" fillId="0" borderId="22" xfId="0" applyFont="1" applyBorder="1" applyAlignment="1">
      <alignment horizontal="left" vertical="center"/>
    </xf>
    <xf numFmtId="0" fontId="1" fillId="0" borderId="13" xfId="1" applyFont="1" applyBorder="1" applyAlignment="1">
      <alignment horizontal="left" vertical="center"/>
    </xf>
    <xf numFmtId="0" fontId="0" fillId="0" borderId="0" xfId="0" applyFill="1"/>
    <xf numFmtId="165" fontId="3" fillId="0" borderId="0" xfId="0" applyNumberFormat="1" applyFont="1" applyFill="1"/>
    <xf numFmtId="0" fontId="0" fillId="0" borderId="0" xfId="0" applyFill="1" applyBorder="1"/>
    <xf numFmtId="0" fontId="5" fillId="0" borderId="0" xfId="0" applyFont="1" applyFill="1" applyBorder="1" applyAlignment="1">
      <alignment horizontal="centerContinuous"/>
    </xf>
    <xf numFmtId="0" fontId="5" fillId="0" borderId="0" xfId="0" applyFont="1" applyFill="1" applyBorder="1" applyAlignment="1">
      <alignment horizontal="center"/>
    </xf>
    <xf numFmtId="2" fontId="0" fillId="0" borderId="2" xfId="0" applyNumberFormat="1" applyFill="1" applyBorder="1"/>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20</xdr:col>
      <xdr:colOff>47095</xdr:colOff>
      <xdr:row>315</xdr:row>
      <xdr:rowOff>3703</xdr:rowOff>
    </xdr:from>
    <xdr:to>
      <xdr:col>21</xdr:col>
      <xdr:colOff>620423</xdr:colOff>
      <xdr:row>316</xdr:row>
      <xdr:rowOff>48922</xdr:rowOff>
    </xdr:to>
    <xdr:sp macro="" textlink="">
      <xdr:nvSpPr>
        <xdr:cNvPr id="2" name="CuadroTexto 1">
          <a:extLst>
            <a:ext uri="{FF2B5EF4-FFF2-40B4-BE49-F238E27FC236}">
              <a16:creationId xmlns:a16="http://schemas.microsoft.com/office/drawing/2014/main" id="{3D2C9581-C6FA-4648-94DD-B3747FED8466}"/>
            </a:ext>
          </a:extLst>
        </xdr:cNvPr>
        <xdr:cNvSpPr txBox="1"/>
      </xdr:nvSpPr>
      <xdr:spPr>
        <a:xfrm>
          <a:off x="48664283" y="60717641"/>
          <a:ext cx="4764328" cy="251594"/>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solidFill>
                <a:schemeClr val="tx1"/>
              </a:solidFill>
            </a:rPr>
            <a:t>El</a:t>
          </a:r>
          <a:r>
            <a:rPr lang="es-MX" sz="1100" baseline="0">
              <a:solidFill>
                <a:schemeClr val="tx1"/>
              </a:solidFill>
            </a:rPr>
            <a:t> método más preciso es el Last Observation porque posee un REMC de 0,4816.</a:t>
          </a:r>
          <a:endParaRPr lang="es-MX" sz="1100">
            <a:solidFill>
              <a:schemeClr val="tx1"/>
            </a:solidFill>
          </a:endParaRPr>
        </a:p>
      </xdr:txBody>
    </xdr:sp>
    <xdr:clientData/>
  </xdr:twoCellAnchor>
  <xdr:twoCellAnchor>
    <xdr:from>
      <xdr:col>20</xdr:col>
      <xdr:colOff>65405</xdr:colOff>
      <xdr:row>321</xdr:row>
      <xdr:rowOff>954</xdr:rowOff>
    </xdr:from>
    <xdr:to>
      <xdr:col>21</xdr:col>
      <xdr:colOff>640426</xdr:colOff>
      <xdr:row>324</xdr:row>
      <xdr:rowOff>71438</xdr:rowOff>
    </xdr:to>
    <xdr:sp macro="" textlink="">
      <xdr:nvSpPr>
        <xdr:cNvPr id="3" name="CuadroTexto 2">
          <a:extLst>
            <a:ext uri="{FF2B5EF4-FFF2-40B4-BE49-F238E27FC236}">
              <a16:creationId xmlns:a16="http://schemas.microsoft.com/office/drawing/2014/main" id="{11B1ABA7-0AE3-4545-AA4D-4513D108B307}"/>
            </a:ext>
          </a:extLst>
        </xdr:cNvPr>
        <xdr:cNvSpPr txBox="1"/>
      </xdr:nvSpPr>
      <xdr:spPr>
        <a:xfrm>
          <a:off x="48682593" y="61905517"/>
          <a:ext cx="4766021" cy="673734"/>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a:t>El método más preciso es Last Observation. Si bien los RECM varían ligeramente respecto al proyecto anterior, los métodos implementados en este proyecto presentan menores errores, demostrando una mayor precisión.</a:t>
          </a:r>
          <a:endParaRPr lang="es-MX"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131646</xdr:colOff>
      <xdr:row>314</xdr:row>
      <xdr:rowOff>139392</xdr:rowOff>
    </xdr:from>
    <xdr:to>
      <xdr:col>25</xdr:col>
      <xdr:colOff>758902</xdr:colOff>
      <xdr:row>315</xdr:row>
      <xdr:rowOff>185853</xdr:rowOff>
    </xdr:to>
    <xdr:sp macro="" textlink="">
      <xdr:nvSpPr>
        <xdr:cNvPr id="2" name="CuadroTexto 1">
          <a:extLst>
            <a:ext uri="{FF2B5EF4-FFF2-40B4-BE49-F238E27FC236}">
              <a16:creationId xmlns:a16="http://schemas.microsoft.com/office/drawing/2014/main" id="{DEF28997-EBCE-F7CC-A5B0-815A280B1015}"/>
            </a:ext>
          </a:extLst>
        </xdr:cNvPr>
        <xdr:cNvSpPr txBox="1"/>
      </xdr:nvSpPr>
      <xdr:spPr>
        <a:xfrm>
          <a:off x="16703597" y="62260977"/>
          <a:ext cx="4770244" cy="247803"/>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solidFill>
                <a:schemeClr val="tx1"/>
              </a:solidFill>
            </a:rPr>
            <a:t>El</a:t>
          </a:r>
          <a:r>
            <a:rPr lang="es-MX" sz="1100" baseline="0">
              <a:solidFill>
                <a:schemeClr val="tx1"/>
              </a:solidFill>
            </a:rPr>
            <a:t> método más preciso es el Last Observation porque posee un REMC de 0,8243.</a:t>
          </a:r>
          <a:endParaRPr lang="es-MX" sz="1100">
            <a:solidFill>
              <a:schemeClr val="tx1"/>
            </a:solidFill>
          </a:endParaRPr>
        </a:p>
      </xdr:txBody>
    </xdr:sp>
    <xdr:clientData/>
  </xdr:twoCellAnchor>
  <xdr:twoCellAnchor>
    <xdr:from>
      <xdr:col>20</xdr:col>
      <xdr:colOff>139390</xdr:colOff>
      <xdr:row>317</xdr:row>
      <xdr:rowOff>139389</xdr:rowOff>
    </xdr:from>
    <xdr:to>
      <xdr:col>24</xdr:col>
      <xdr:colOff>162622</xdr:colOff>
      <xdr:row>326</xdr:row>
      <xdr:rowOff>33129</xdr:rowOff>
    </xdr:to>
    <xdr:sp macro="" textlink="">
      <xdr:nvSpPr>
        <xdr:cNvPr id="3" name="CuadroTexto 2">
          <a:extLst>
            <a:ext uri="{FF2B5EF4-FFF2-40B4-BE49-F238E27FC236}">
              <a16:creationId xmlns:a16="http://schemas.microsoft.com/office/drawing/2014/main" id="{2213BC4D-9CFF-674A-AAF6-E94C90C14097}"/>
            </a:ext>
          </a:extLst>
        </xdr:cNvPr>
        <xdr:cNvSpPr txBox="1"/>
      </xdr:nvSpPr>
      <xdr:spPr>
        <a:xfrm>
          <a:off x="17124260" y="60812259"/>
          <a:ext cx="3336275" cy="1605479"/>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MX" sz="1100">
              <a:solidFill>
                <a:schemeClr val="tx1"/>
              </a:solidFill>
            </a:rPr>
            <a:t>El</a:t>
          </a:r>
          <a:r>
            <a:rPr lang="es-MX" sz="1100" baseline="0">
              <a:solidFill>
                <a:schemeClr val="tx1"/>
              </a:solidFill>
            </a:rPr>
            <a:t> método más preciso es el Last Observation, no obstante el REMC es mejor en el Nowcast (exepto la EEE) porque los resultados están más cerca de cero, lo cual implica mayor precisión, cabe destacar que las diferencias son mínimas, pero comparando el Nowcast con el Prónostico se denota mejor precisión en el Nowcast.</a:t>
          </a:r>
        </a:p>
        <a:p>
          <a:pPr algn="l"/>
          <a:endParaRPr lang="es-MX"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8466</xdr:colOff>
      <xdr:row>2</xdr:row>
      <xdr:rowOff>8465</xdr:rowOff>
    </xdr:from>
    <xdr:to>
      <xdr:col>9</xdr:col>
      <xdr:colOff>135466</xdr:colOff>
      <xdr:row>9</xdr:row>
      <xdr:rowOff>177799</xdr:rowOff>
    </xdr:to>
    <xdr:sp macro="" textlink="">
      <xdr:nvSpPr>
        <xdr:cNvPr id="2" name="CuadroTexto 1">
          <a:extLst>
            <a:ext uri="{FF2B5EF4-FFF2-40B4-BE49-F238E27FC236}">
              <a16:creationId xmlns:a16="http://schemas.microsoft.com/office/drawing/2014/main" id="{CBE7A4C0-F792-F9EA-9985-2C01EC61C544}"/>
            </a:ext>
          </a:extLst>
        </xdr:cNvPr>
        <xdr:cNvSpPr txBox="1"/>
      </xdr:nvSpPr>
      <xdr:spPr>
        <a:xfrm>
          <a:off x="4241799" y="397932"/>
          <a:ext cx="4275667" cy="1532467"/>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a:t>Cabe destacar que el argumento del analista es razonable, dado que el IMCE tiende a reaccionar más a la inflación observada recientemente, mientras que el EEE proyecta escenarios a futuro, mostrando menor volatilidad. En teoría, esto posicionaría al EEE como un mejor indicador en el corto plazo. Sin embargo, según los resultados obtenidos tanto en el proyecto anterior como en el actual, el RECM del IMCE fue consistentemente menor que el del EEE, indicando que, en la práctica, el IMCE es un mejor predictor a corto plazo.</a:t>
          </a:r>
          <a:endParaRPr lang="es-MX" sz="1100"/>
        </a:p>
      </xdr:txBody>
    </xdr:sp>
    <xdr:clientData/>
  </xdr:twoCellAnchor>
  <xdr:twoCellAnchor>
    <xdr:from>
      <xdr:col>0</xdr:col>
      <xdr:colOff>0</xdr:colOff>
      <xdr:row>2</xdr:row>
      <xdr:rowOff>8467</xdr:rowOff>
    </xdr:from>
    <xdr:to>
      <xdr:col>3</xdr:col>
      <xdr:colOff>364067</xdr:colOff>
      <xdr:row>8</xdr:row>
      <xdr:rowOff>25401</xdr:rowOff>
    </xdr:to>
    <xdr:sp macro="" textlink="">
      <xdr:nvSpPr>
        <xdr:cNvPr id="3" name="CuadroTexto 2">
          <a:extLst>
            <a:ext uri="{FF2B5EF4-FFF2-40B4-BE49-F238E27FC236}">
              <a16:creationId xmlns:a16="http://schemas.microsoft.com/office/drawing/2014/main" id="{2CBD5EAA-2794-8DDC-19C8-AD6B31E92495}"/>
            </a:ext>
          </a:extLst>
        </xdr:cNvPr>
        <xdr:cNvSpPr txBox="1"/>
      </xdr:nvSpPr>
      <xdr:spPr>
        <a:xfrm>
          <a:off x="0" y="397934"/>
          <a:ext cx="3767667" cy="1185334"/>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a:t>Un analista económico ha expresado su apoyo al pronóstico de inflación de la Encuesta del Banco Central, en detrimento del pronóstico de inflación del IMCE, argumentando que este último es excesivamente sensible a la inflación actual y no es un buen predictor a 12 meses. ¿Está usted de acuerdo o en desacuerdo con esta postura del analista económico?</a:t>
          </a:r>
          <a:endParaRPr lang="es-MX"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61004</xdr:colOff>
      <xdr:row>324</xdr:row>
      <xdr:rowOff>23555</xdr:rowOff>
    </xdr:from>
    <xdr:to>
      <xdr:col>2</xdr:col>
      <xdr:colOff>1194017</xdr:colOff>
      <xdr:row>330</xdr:row>
      <xdr:rowOff>21709</xdr:rowOff>
    </xdr:to>
    <xdr:sp macro="" textlink="">
      <xdr:nvSpPr>
        <xdr:cNvPr id="2" name="CuadroTexto 1">
          <a:extLst>
            <a:ext uri="{FF2B5EF4-FFF2-40B4-BE49-F238E27FC236}">
              <a16:creationId xmlns:a16="http://schemas.microsoft.com/office/drawing/2014/main" id="{3A93D0EF-E1C5-F74C-9869-CD0D7A9F2EDC}"/>
            </a:ext>
          </a:extLst>
        </xdr:cNvPr>
        <xdr:cNvSpPr txBox="1"/>
      </xdr:nvSpPr>
      <xdr:spPr>
        <a:xfrm>
          <a:off x="61004" y="64033726"/>
          <a:ext cx="3792415" cy="1192171"/>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E</a:t>
          </a:r>
          <a:r>
            <a:rPr lang="es-CL"/>
            <a:t>l modelo proyecta que, a medida que transcurren los meses, la inflación se aproxima progresivamente al rango objetivo definido por el Banco Central. Sin embargo, en un horizonte de un año, no se lograría ingresar al intervalo de tolerancia establecido (2%-4%).</a:t>
          </a:r>
          <a:endParaRPr lang="es-MX"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4"/>
  <sheetViews>
    <sheetView tabSelected="1" zoomScale="109" zoomScaleNormal="70" workbookViewId="0">
      <pane xSplit="3" ySplit="7" topLeftCell="D291" activePane="bottomRight" state="frozen"/>
      <selection pane="topRight" activeCell="G1" sqref="G1"/>
      <selection pane="bottomLeft" activeCell="A8" sqref="A8"/>
      <selection pane="bottomRight" activeCell="B310" sqref="B310"/>
    </sheetView>
  </sheetViews>
  <sheetFormatPr baseColWidth="10" defaultRowHeight="15" x14ac:dyDescent="0.2"/>
  <cols>
    <col min="1" max="1" width="15" customWidth="1"/>
    <col min="2" max="2" width="20" customWidth="1"/>
    <col min="3" max="3" width="12.33203125" customWidth="1"/>
    <col min="4" max="4" width="26.33203125" customWidth="1"/>
    <col min="5" max="5" width="19.1640625" customWidth="1"/>
    <col min="6" max="6" width="17.33203125" customWidth="1"/>
    <col min="7" max="7" width="21.1640625" customWidth="1"/>
    <col min="8" max="8" width="18.1640625" customWidth="1"/>
    <col min="9" max="9" width="23.5" customWidth="1"/>
    <col min="10" max="10" width="24.6640625" customWidth="1"/>
    <col min="11" max="11" width="24.1640625" customWidth="1"/>
    <col min="12" max="12" width="22.1640625" customWidth="1"/>
    <col min="13" max="13" width="30.33203125" customWidth="1"/>
    <col min="14" max="14" width="26.5" customWidth="1"/>
    <col min="15" max="15" width="29.5" customWidth="1"/>
    <col min="16" max="16" width="28.1640625" customWidth="1"/>
    <col min="17" max="17" width="29.5" customWidth="1"/>
    <col min="18" max="18" width="22.6640625" customWidth="1"/>
    <col min="19" max="19" width="24" customWidth="1"/>
    <col min="20" max="20" width="28.1640625" customWidth="1"/>
    <col min="21" max="21" width="55" customWidth="1"/>
  </cols>
  <sheetData>
    <row r="1" spans="1:23" ht="16" x14ac:dyDescent="0.2">
      <c r="A1" s="81"/>
      <c r="B1" s="81"/>
      <c r="C1" s="82"/>
    </row>
    <row r="3" spans="1:23" ht="67.5" customHeight="1" x14ac:dyDescent="0.2">
      <c r="A3" s="42" t="s">
        <v>1</v>
      </c>
      <c r="B3" s="42" t="s">
        <v>39</v>
      </c>
      <c r="C3" s="42" t="s">
        <v>53</v>
      </c>
      <c r="D3" s="50" t="s">
        <v>48</v>
      </c>
      <c r="E3" s="20" t="s">
        <v>49</v>
      </c>
      <c r="F3" s="20" t="s">
        <v>50</v>
      </c>
      <c r="G3" s="20" t="s">
        <v>51</v>
      </c>
      <c r="H3" s="20" t="s">
        <v>52</v>
      </c>
      <c r="I3" s="29" t="s">
        <v>55</v>
      </c>
      <c r="J3" s="62" t="s">
        <v>54</v>
      </c>
      <c r="K3" s="29" t="s">
        <v>56</v>
      </c>
      <c r="L3" s="62" t="s">
        <v>57</v>
      </c>
      <c r="M3" s="62" t="s">
        <v>58</v>
      </c>
      <c r="N3" s="62" t="s">
        <v>59</v>
      </c>
      <c r="O3" s="63" t="s">
        <v>60</v>
      </c>
      <c r="P3" s="63" t="s">
        <v>61</v>
      </c>
      <c r="Q3" s="63" t="s">
        <v>62</v>
      </c>
      <c r="R3" s="63" t="s">
        <v>63</v>
      </c>
      <c r="S3" s="63" t="s">
        <v>64</v>
      </c>
      <c r="T3" s="63" t="s">
        <v>65</v>
      </c>
      <c r="V3" s="6"/>
      <c r="W3" s="6"/>
    </row>
    <row r="4" spans="1:23" x14ac:dyDescent="0.2">
      <c r="A4" s="55">
        <v>36495</v>
      </c>
      <c r="B4" s="37">
        <v>2.320284515</v>
      </c>
      <c r="L4" s="5"/>
    </row>
    <row r="5" spans="1:23" x14ac:dyDescent="0.2">
      <c r="A5" s="44">
        <v>36526</v>
      </c>
      <c r="B5" s="32">
        <v>2.8316204100000002</v>
      </c>
    </row>
    <row r="6" spans="1:23" x14ac:dyDescent="0.2">
      <c r="A6" s="44">
        <v>36557</v>
      </c>
      <c r="B6" s="32">
        <v>3.3276025819999999</v>
      </c>
    </row>
    <row r="7" spans="1:23" x14ac:dyDescent="0.2">
      <c r="A7" s="44">
        <v>36586</v>
      </c>
      <c r="B7" s="32">
        <v>3.4272735679999999</v>
      </c>
    </row>
    <row r="8" spans="1:23" x14ac:dyDescent="0.2">
      <c r="A8" s="44">
        <v>36617</v>
      </c>
      <c r="B8" s="32">
        <v>3.5302095370000002</v>
      </c>
    </row>
    <row r="9" spans="1:23" x14ac:dyDescent="0.2">
      <c r="A9" s="44">
        <v>36647</v>
      </c>
      <c r="B9" s="32">
        <v>3.6357526739999999</v>
      </c>
    </row>
    <row r="10" spans="1:23" x14ac:dyDescent="0.2">
      <c r="A10" s="44">
        <v>36678</v>
      </c>
      <c r="B10" s="32">
        <v>3.7285308060000002</v>
      </c>
    </row>
    <row r="11" spans="1:23" x14ac:dyDescent="0.2">
      <c r="A11" s="44">
        <v>36708</v>
      </c>
      <c r="B11" s="32">
        <v>3.8046348619999999</v>
      </c>
    </row>
    <row r="12" spans="1:23" x14ac:dyDescent="0.2">
      <c r="A12" s="44">
        <v>36739</v>
      </c>
      <c r="B12" s="32">
        <v>3.86290442</v>
      </c>
    </row>
    <row r="13" spans="1:23" x14ac:dyDescent="0.2">
      <c r="A13" s="44">
        <v>36770</v>
      </c>
      <c r="B13" s="32">
        <v>4.2576910459999997</v>
      </c>
    </row>
    <row r="14" spans="1:23" x14ac:dyDescent="0.2">
      <c r="A14" s="44">
        <v>36800</v>
      </c>
      <c r="B14" s="32">
        <v>4.5211703920000001</v>
      </c>
    </row>
    <row r="15" spans="1:23" x14ac:dyDescent="0.2">
      <c r="A15" s="44">
        <v>36831</v>
      </c>
      <c r="B15" s="32">
        <v>4.6791907239999997</v>
      </c>
    </row>
    <row r="16" spans="1:23" x14ac:dyDescent="0.2">
      <c r="A16" s="44">
        <v>36861</v>
      </c>
      <c r="B16" s="32">
        <v>4.5198960789999996</v>
      </c>
    </row>
    <row r="17" spans="1:3" x14ac:dyDescent="0.2">
      <c r="A17" s="44">
        <v>36892</v>
      </c>
      <c r="B17" s="32">
        <v>4.694050818</v>
      </c>
      <c r="C17" s="32">
        <v>3.7</v>
      </c>
    </row>
    <row r="18" spans="1:3" x14ac:dyDescent="0.2">
      <c r="A18" s="44">
        <v>36923</v>
      </c>
      <c r="B18" s="32">
        <v>3.7911114760000002</v>
      </c>
      <c r="C18" s="34" t="s">
        <v>0</v>
      </c>
    </row>
    <row r="19" spans="1:3" x14ac:dyDescent="0.2">
      <c r="A19" s="44">
        <v>36951</v>
      </c>
      <c r="B19" s="32">
        <v>3.5327633399999998</v>
      </c>
      <c r="C19" s="34" t="s">
        <v>0</v>
      </c>
    </row>
    <row r="20" spans="1:3" x14ac:dyDescent="0.2">
      <c r="A20" s="44">
        <v>36982</v>
      </c>
      <c r="B20" s="32">
        <v>3.5246542910000001</v>
      </c>
      <c r="C20" s="34" t="s">
        <v>0</v>
      </c>
    </row>
    <row r="21" spans="1:3" x14ac:dyDescent="0.2">
      <c r="A21" s="44">
        <v>37012</v>
      </c>
      <c r="B21" s="32">
        <v>3.7467350599999998</v>
      </c>
      <c r="C21" s="34" t="s">
        <v>0</v>
      </c>
    </row>
    <row r="22" spans="1:3" x14ac:dyDescent="0.2">
      <c r="A22" s="44">
        <v>37043</v>
      </c>
      <c r="B22" s="32">
        <v>3.561291384</v>
      </c>
      <c r="C22" s="34" t="s">
        <v>0</v>
      </c>
    </row>
    <row r="23" spans="1:3" x14ac:dyDescent="0.2">
      <c r="A23" s="44">
        <v>37073</v>
      </c>
      <c r="B23" s="32">
        <v>3.2148764270000001</v>
      </c>
      <c r="C23" s="34" t="s">
        <v>0</v>
      </c>
    </row>
    <row r="24" spans="1:3" x14ac:dyDescent="0.2">
      <c r="A24" s="44">
        <v>37104</v>
      </c>
      <c r="B24" s="32">
        <v>3.7731704339999999</v>
      </c>
      <c r="C24" s="34" t="s">
        <v>0</v>
      </c>
    </row>
    <row r="25" spans="1:3" x14ac:dyDescent="0.2">
      <c r="A25" s="44">
        <v>37135</v>
      </c>
      <c r="B25" s="32">
        <v>3.9018127410000001</v>
      </c>
      <c r="C25" s="32">
        <v>3.6</v>
      </c>
    </row>
    <row r="26" spans="1:3" x14ac:dyDescent="0.2">
      <c r="A26" s="44">
        <v>37165</v>
      </c>
      <c r="B26" s="32">
        <v>3.4089152010000001</v>
      </c>
      <c r="C26" s="32">
        <v>3.8</v>
      </c>
    </row>
    <row r="27" spans="1:3" x14ac:dyDescent="0.2">
      <c r="A27" s="44">
        <v>37196</v>
      </c>
      <c r="B27" s="32">
        <v>3.0589446090000001</v>
      </c>
      <c r="C27" s="32">
        <v>3.9</v>
      </c>
    </row>
    <row r="28" spans="1:3" x14ac:dyDescent="0.2">
      <c r="A28" s="44">
        <v>37226</v>
      </c>
      <c r="B28" s="32">
        <v>2.633621883</v>
      </c>
      <c r="C28" s="32">
        <v>3.5</v>
      </c>
    </row>
    <row r="29" spans="1:3" x14ac:dyDescent="0.2">
      <c r="A29" s="44">
        <v>37257</v>
      </c>
      <c r="B29" s="32">
        <v>2.2102109849999998</v>
      </c>
      <c r="C29" s="32">
        <v>3.2</v>
      </c>
    </row>
    <row r="30" spans="1:3" x14ac:dyDescent="0.2">
      <c r="A30" s="44">
        <v>37288</v>
      </c>
      <c r="B30" s="32">
        <v>2.5296612230000002</v>
      </c>
      <c r="C30" s="32">
        <v>3.1</v>
      </c>
    </row>
    <row r="31" spans="1:3" x14ac:dyDescent="0.2">
      <c r="A31" s="44">
        <v>37316</v>
      </c>
      <c r="B31" s="32">
        <v>2.5768234589999999</v>
      </c>
      <c r="C31" s="32">
        <v>3</v>
      </c>
    </row>
    <row r="32" spans="1:3" x14ac:dyDescent="0.2">
      <c r="A32" s="44">
        <v>37347</v>
      </c>
      <c r="B32" s="32">
        <v>2.483862309</v>
      </c>
      <c r="C32" s="32">
        <v>3.1</v>
      </c>
    </row>
    <row r="33" spans="1:3" x14ac:dyDescent="0.2">
      <c r="A33" s="44">
        <v>37377</v>
      </c>
      <c r="B33" s="32">
        <v>2.132392104</v>
      </c>
      <c r="C33" s="32">
        <v>3</v>
      </c>
    </row>
    <row r="34" spans="1:3" x14ac:dyDescent="0.2">
      <c r="A34" s="44">
        <v>37408</v>
      </c>
      <c r="B34" s="32">
        <v>1.9484491289999999</v>
      </c>
      <c r="C34" s="32">
        <v>2.8</v>
      </c>
    </row>
    <row r="35" spans="1:3" x14ac:dyDescent="0.2">
      <c r="A35" s="44">
        <v>37438</v>
      </c>
      <c r="B35" s="32">
        <v>2.6000146310000001</v>
      </c>
      <c r="C35" s="32">
        <v>2.8</v>
      </c>
    </row>
    <row r="36" spans="1:3" x14ac:dyDescent="0.2">
      <c r="A36" s="44">
        <v>37469</v>
      </c>
      <c r="B36" s="32">
        <v>2.1761916549999998</v>
      </c>
      <c r="C36" s="32">
        <v>2.6</v>
      </c>
    </row>
    <row r="37" spans="1:3" x14ac:dyDescent="0.2">
      <c r="A37" s="44">
        <v>37500</v>
      </c>
      <c r="B37" s="32">
        <v>2.2926394760000002</v>
      </c>
      <c r="C37" s="32">
        <v>2.7</v>
      </c>
    </row>
    <row r="38" spans="1:3" x14ac:dyDescent="0.2">
      <c r="A38" s="44">
        <v>37530</v>
      </c>
      <c r="B38" s="32">
        <v>3.06035974</v>
      </c>
      <c r="C38" s="32">
        <v>3</v>
      </c>
    </row>
    <row r="39" spans="1:3" x14ac:dyDescent="0.2">
      <c r="A39" s="44">
        <v>37561</v>
      </c>
      <c r="B39" s="32">
        <v>2.9807972820000002</v>
      </c>
      <c r="C39" s="32">
        <v>3</v>
      </c>
    </row>
    <row r="40" spans="1:3" x14ac:dyDescent="0.2">
      <c r="A40" s="44">
        <v>37591</v>
      </c>
      <c r="B40" s="32">
        <v>2.8442239659999999</v>
      </c>
      <c r="C40" s="32">
        <v>3</v>
      </c>
    </row>
    <row r="41" spans="1:3" x14ac:dyDescent="0.2">
      <c r="A41" s="44">
        <v>37622</v>
      </c>
      <c r="B41" s="32">
        <v>3.0245819599999999</v>
      </c>
      <c r="C41" s="32">
        <v>3</v>
      </c>
    </row>
    <row r="42" spans="1:3" x14ac:dyDescent="0.2">
      <c r="A42" s="44">
        <v>37653</v>
      </c>
      <c r="B42" s="32">
        <v>3.8320310649999998</v>
      </c>
      <c r="C42" s="32">
        <v>3</v>
      </c>
    </row>
    <row r="43" spans="1:3" x14ac:dyDescent="0.2">
      <c r="A43" s="44">
        <v>37681</v>
      </c>
      <c r="B43" s="32">
        <v>4.4947572600000001</v>
      </c>
      <c r="C43" s="32">
        <v>3</v>
      </c>
    </row>
    <row r="44" spans="1:3" x14ac:dyDescent="0.2">
      <c r="A44" s="44">
        <v>37712</v>
      </c>
      <c r="B44" s="32">
        <v>4.0014362620000004</v>
      </c>
      <c r="C44" s="32">
        <v>3</v>
      </c>
    </row>
    <row r="45" spans="1:3" x14ac:dyDescent="0.2">
      <c r="A45" s="44">
        <v>37742</v>
      </c>
      <c r="B45" s="32">
        <v>3.5069667369999999</v>
      </c>
      <c r="C45" s="32">
        <v>2.9</v>
      </c>
    </row>
    <row r="46" spans="1:3" x14ac:dyDescent="0.2">
      <c r="A46" s="44">
        <v>37773</v>
      </c>
      <c r="B46" s="32">
        <v>3.6386787279999999</v>
      </c>
      <c r="C46" s="32">
        <v>2.9</v>
      </c>
    </row>
    <row r="47" spans="1:3" x14ac:dyDescent="0.2">
      <c r="A47" s="44">
        <v>37803</v>
      </c>
      <c r="B47" s="32">
        <v>3.093054253</v>
      </c>
      <c r="C47" s="32">
        <v>3.1</v>
      </c>
    </row>
    <row r="48" spans="1:3" x14ac:dyDescent="0.2">
      <c r="A48" s="44">
        <v>37834</v>
      </c>
      <c r="B48" s="32">
        <v>2.8687406379999998</v>
      </c>
      <c r="C48" s="32">
        <v>3</v>
      </c>
    </row>
    <row r="49" spans="1:4" x14ac:dyDescent="0.2">
      <c r="A49" s="44">
        <v>37865</v>
      </c>
      <c r="B49" s="32">
        <v>2.2004787540000001</v>
      </c>
      <c r="C49" s="32">
        <v>3.2</v>
      </c>
    </row>
    <row r="50" spans="1:4" x14ac:dyDescent="0.2">
      <c r="A50" s="44">
        <v>37895</v>
      </c>
      <c r="B50" s="32">
        <v>1.151487167</v>
      </c>
      <c r="C50" s="32">
        <v>3</v>
      </c>
    </row>
    <row r="51" spans="1:4" x14ac:dyDescent="0.2">
      <c r="A51" s="44">
        <v>37926</v>
      </c>
      <c r="B51" s="32">
        <v>0.92309418600000004</v>
      </c>
      <c r="C51" s="32">
        <v>2.5</v>
      </c>
      <c r="D51" s="32"/>
    </row>
    <row r="52" spans="1:4" x14ac:dyDescent="0.2">
      <c r="A52" s="44">
        <v>37956</v>
      </c>
      <c r="B52" s="32">
        <v>1.044651349</v>
      </c>
      <c r="C52" s="32">
        <v>2.2999999999999998</v>
      </c>
      <c r="D52" s="32"/>
    </row>
    <row r="53" spans="1:4" x14ac:dyDescent="0.2">
      <c r="A53" s="44">
        <v>37987</v>
      </c>
      <c r="B53" s="32">
        <v>0.76684437299999997</v>
      </c>
      <c r="C53" s="32">
        <v>2</v>
      </c>
      <c r="D53" s="32"/>
    </row>
    <row r="54" spans="1:4" x14ac:dyDescent="0.2">
      <c r="A54" s="44">
        <v>38018</v>
      </c>
      <c r="B54" s="32">
        <v>-1.0583085000000001E-2</v>
      </c>
      <c r="C54" s="32">
        <v>2.1</v>
      </c>
      <c r="D54" s="32"/>
    </row>
    <row r="55" spans="1:4" x14ac:dyDescent="0.2">
      <c r="A55" s="44">
        <v>38047</v>
      </c>
      <c r="B55" s="32">
        <v>-0.75137248800000001</v>
      </c>
      <c r="C55" s="32">
        <v>2.2000000000000002</v>
      </c>
      <c r="D55" s="32"/>
    </row>
    <row r="56" spans="1:4" x14ac:dyDescent="0.2">
      <c r="A56" s="44">
        <v>38078</v>
      </c>
      <c r="B56" s="32">
        <v>-0.29596737200000001</v>
      </c>
      <c r="C56" s="32">
        <v>2.4</v>
      </c>
      <c r="D56" s="32"/>
    </row>
    <row r="57" spans="1:4" x14ac:dyDescent="0.2">
      <c r="A57" s="44">
        <v>38108</v>
      </c>
      <c r="B57" s="32">
        <v>0.62111017400000001</v>
      </c>
      <c r="C57" s="32">
        <v>2.5</v>
      </c>
      <c r="D57" s="32"/>
    </row>
    <row r="58" spans="1:4" x14ac:dyDescent="0.2">
      <c r="A58" s="44">
        <v>38139</v>
      </c>
      <c r="B58" s="32">
        <v>1.055754428</v>
      </c>
      <c r="C58" s="32">
        <v>2.6</v>
      </c>
      <c r="D58" s="32"/>
    </row>
    <row r="59" spans="1:4" x14ac:dyDescent="0.2">
      <c r="A59" s="44">
        <v>38169</v>
      </c>
      <c r="B59" s="32">
        <v>1.3778155299999999</v>
      </c>
      <c r="C59" s="32">
        <v>2.5</v>
      </c>
      <c r="D59" s="32"/>
    </row>
    <row r="60" spans="1:4" x14ac:dyDescent="0.2">
      <c r="A60" s="44">
        <v>38200</v>
      </c>
      <c r="B60" s="32">
        <v>1.5955762060000001</v>
      </c>
      <c r="C60" s="32">
        <v>2.6</v>
      </c>
      <c r="D60" s="32"/>
    </row>
    <row r="61" spans="1:4" x14ac:dyDescent="0.2">
      <c r="A61" s="44">
        <v>38231</v>
      </c>
      <c r="B61" s="32">
        <v>1.461946586</v>
      </c>
      <c r="C61" s="32">
        <v>2.8</v>
      </c>
      <c r="D61" s="32"/>
    </row>
    <row r="62" spans="1:4" x14ac:dyDescent="0.2">
      <c r="A62" s="44">
        <v>38261</v>
      </c>
      <c r="B62" s="32">
        <v>1.9130358139999999</v>
      </c>
      <c r="C62" s="32">
        <v>3</v>
      </c>
      <c r="D62" s="32"/>
    </row>
    <row r="63" spans="1:4" x14ac:dyDescent="0.2">
      <c r="A63" s="44">
        <v>38292</v>
      </c>
      <c r="B63" s="32">
        <v>2.4830099410000002</v>
      </c>
      <c r="C63" s="32">
        <v>2.9</v>
      </c>
      <c r="D63" s="32"/>
    </row>
    <row r="64" spans="1:4" x14ac:dyDescent="0.2">
      <c r="A64" s="44">
        <v>38322</v>
      </c>
      <c r="B64" s="32">
        <v>2.4210260610000001</v>
      </c>
      <c r="C64" s="32">
        <v>2.8</v>
      </c>
      <c r="D64" s="32"/>
    </row>
    <row r="65" spans="1:4" x14ac:dyDescent="0.2">
      <c r="A65" s="44">
        <v>38353</v>
      </c>
      <c r="B65" s="32">
        <v>2.2877997780000001</v>
      </c>
      <c r="C65" s="32">
        <v>2.7</v>
      </c>
      <c r="D65" s="32"/>
    </row>
    <row r="66" spans="1:4" x14ac:dyDescent="0.2">
      <c r="A66" s="44">
        <v>38384</v>
      </c>
      <c r="B66" s="32">
        <v>2.1815860890000001</v>
      </c>
      <c r="C66" s="32">
        <v>2.6</v>
      </c>
      <c r="D66" s="32"/>
    </row>
    <row r="67" spans="1:4" x14ac:dyDescent="0.2">
      <c r="A67" s="44">
        <v>38412</v>
      </c>
      <c r="B67" s="32">
        <v>2.4038656669999998</v>
      </c>
      <c r="C67" s="32">
        <v>2.7</v>
      </c>
      <c r="D67" s="32"/>
    </row>
    <row r="68" spans="1:4" x14ac:dyDescent="0.2">
      <c r="A68" s="44">
        <v>38443</v>
      </c>
      <c r="B68" s="32">
        <v>2.9504499150000001</v>
      </c>
      <c r="C68" s="32">
        <v>2.8</v>
      </c>
      <c r="D68" s="32"/>
    </row>
    <row r="69" spans="1:4" x14ac:dyDescent="0.2">
      <c r="A69" s="44">
        <v>38473</v>
      </c>
      <c r="B69" s="32">
        <v>2.6835984050000001</v>
      </c>
      <c r="C69" s="32">
        <v>2.9</v>
      </c>
      <c r="D69" s="32">
        <v>3</v>
      </c>
    </row>
    <row r="70" spans="1:4" x14ac:dyDescent="0.2">
      <c r="A70" s="44">
        <v>38504</v>
      </c>
      <c r="B70" s="32">
        <v>2.6601725599999999</v>
      </c>
      <c r="C70" s="32">
        <v>3</v>
      </c>
      <c r="D70" s="32">
        <v>3</v>
      </c>
    </row>
    <row r="71" spans="1:4" x14ac:dyDescent="0.2">
      <c r="A71" s="44">
        <v>38534</v>
      </c>
      <c r="B71" s="32">
        <v>3.054786848</v>
      </c>
      <c r="C71" s="32">
        <v>2.9</v>
      </c>
      <c r="D71" s="32">
        <v>3</v>
      </c>
    </row>
    <row r="72" spans="1:4" x14ac:dyDescent="0.2">
      <c r="A72" s="44">
        <v>38565</v>
      </c>
      <c r="B72" s="32">
        <v>2.9634008949999999</v>
      </c>
      <c r="C72" s="32">
        <v>3</v>
      </c>
      <c r="D72" s="32">
        <v>3.3</v>
      </c>
    </row>
    <row r="73" spans="1:4" x14ac:dyDescent="0.2">
      <c r="A73" s="44">
        <v>38596</v>
      </c>
      <c r="B73" s="32">
        <v>3.9622246840000002</v>
      </c>
      <c r="C73" s="32">
        <v>3.2</v>
      </c>
      <c r="D73" s="32">
        <v>3.5</v>
      </c>
    </row>
    <row r="74" spans="1:4" x14ac:dyDescent="0.2">
      <c r="A74" s="44">
        <v>38626</v>
      </c>
      <c r="B74" s="32">
        <v>4.1531870550000001</v>
      </c>
      <c r="C74" s="32">
        <v>3.3</v>
      </c>
      <c r="D74" s="32">
        <v>4</v>
      </c>
    </row>
    <row r="75" spans="1:4" x14ac:dyDescent="0.2">
      <c r="A75" s="44">
        <v>38657</v>
      </c>
      <c r="B75" s="32">
        <v>3.6464189870000001</v>
      </c>
      <c r="C75" s="32">
        <v>3.1</v>
      </c>
      <c r="D75" s="32">
        <v>4</v>
      </c>
    </row>
    <row r="76" spans="1:4" x14ac:dyDescent="0.2">
      <c r="A76" s="44">
        <v>38687</v>
      </c>
      <c r="B76" s="32">
        <v>3.6665469439999998</v>
      </c>
      <c r="C76" s="32">
        <v>3</v>
      </c>
      <c r="D76" s="32">
        <v>4</v>
      </c>
    </row>
    <row r="77" spans="1:4" x14ac:dyDescent="0.2">
      <c r="A77" s="44">
        <v>38718</v>
      </c>
      <c r="B77" s="32">
        <v>4.0807329530000001</v>
      </c>
      <c r="C77" s="32">
        <v>3</v>
      </c>
      <c r="D77" s="32">
        <v>3.6</v>
      </c>
    </row>
    <row r="78" spans="1:4" x14ac:dyDescent="0.2">
      <c r="A78" s="44">
        <v>38749</v>
      </c>
      <c r="B78" s="32">
        <v>4.0783838100000001</v>
      </c>
      <c r="C78" s="32">
        <v>3.1</v>
      </c>
      <c r="D78" s="32">
        <v>3.8</v>
      </c>
    </row>
    <row r="79" spans="1:4" x14ac:dyDescent="0.2">
      <c r="A79" s="44">
        <v>38777</v>
      </c>
      <c r="B79" s="32">
        <v>4.0269411049999997</v>
      </c>
      <c r="C79" s="32">
        <v>3</v>
      </c>
      <c r="D79" s="32">
        <v>3.6</v>
      </c>
    </row>
    <row r="80" spans="1:4" x14ac:dyDescent="0.2">
      <c r="A80" s="44">
        <v>38808</v>
      </c>
      <c r="B80" s="32">
        <v>3.7684125129999999</v>
      </c>
      <c r="C80" s="32">
        <v>3</v>
      </c>
      <c r="D80" s="32">
        <v>3.8</v>
      </c>
    </row>
    <row r="81" spans="1:4" x14ac:dyDescent="0.2">
      <c r="A81" s="44">
        <v>38838</v>
      </c>
      <c r="B81" s="32">
        <v>3.7397829370000002</v>
      </c>
      <c r="C81" s="32">
        <v>3</v>
      </c>
      <c r="D81" s="32">
        <v>4</v>
      </c>
    </row>
    <row r="82" spans="1:4" x14ac:dyDescent="0.2">
      <c r="A82" s="44">
        <v>38869</v>
      </c>
      <c r="B82" s="32">
        <v>3.9252760109999998</v>
      </c>
      <c r="C82" s="32">
        <v>3</v>
      </c>
      <c r="D82" s="32">
        <v>3.8</v>
      </c>
    </row>
    <row r="83" spans="1:4" x14ac:dyDescent="0.2">
      <c r="A83" s="44">
        <v>38899</v>
      </c>
      <c r="B83" s="32">
        <v>3.8545605049999998</v>
      </c>
      <c r="C83" s="32">
        <v>3</v>
      </c>
      <c r="D83" s="32">
        <v>4</v>
      </c>
    </row>
    <row r="84" spans="1:4" x14ac:dyDescent="0.2">
      <c r="A84" s="44">
        <v>38930</v>
      </c>
      <c r="B84" s="32">
        <v>3.8143141109999998</v>
      </c>
      <c r="C84" s="32">
        <v>3.2</v>
      </c>
      <c r="D84" s="32">
        <v>4</v>
      </c>
    </row>
    <row r="85" spans="1:4" x14ac:dyDescent="0.2">
      <c r="A85" s="44">
        <v>38961</v>
      </c>
      <c r="B85" s="32">
        <v>2.777980136</v>
      </c>
      <c r="C85" s="32">
        <v>3</v>
      </c>
      <c r="D85" s="32">
        <v>4</v>
      </c>
    </row>
    <row r="86" spans="1:4" x14ac:dyDescent="0.2">
      <c r="A86" s="44">
        <v>38991</v>
      </c>
      <c r="B86" s="32">
        <v>2.0248900779999999</v>
      </c>
      <c r="C86" s="32">
        <v>2.7</v>
      </c>
      <c r="D86" s="32">
        <v>3.5</v>
      </c>
    </row>
    <row r="87" spans="1:4" x14ac:dyDescent="0.2">
      <c r="A87" s="44">
        <v>39022</v>
      </c>
      <c r="B87" s="32">
        <v>2.092317521</v>
      </c>
      <c r="C87" s="32">
        <v>2.9</v>
      </c>
      <c r="D87" s="32">
        <v>3.5</v>
      </c>
    </row>
    <row r="88" spans="1:4" x14ac:dyDescent="0.2">
      <c r="A88" s="44">
        <v>39052</v>
      </c>
      <c r="B88" s="32">
        <v>2.556428226</v>
      </c>
      <c r="C88" s="32">
        <v>2.9</v>
      </c>
      <c r="D88" s="32">
        <v>3.2</v>
      </c>
    </row>
    <row r="89" spans="1:4" x14ac:dyDescent="0.2">
      <c r="A89" s="44">
        <v>39083</v>
      </c>
      <c r="B89" s="32">
        <v>2.7884722169999998</v>
      </c>
      <c r="C89" s="32">
        <v>3</v>
      </c>
      <c r="D89" s="32">
        <v>3</v>
      </c>
    </row>
    <row r="90" spans="1:4" x14ac:dyDescent="0.2">
      <c r="A90" s="44">
        <v>39114</v>
      </c>
      <c r="B90" s="32">
        <v>2.7040595700000001</v>
      </c>
      <c r="C90" s="32">
        <v>2.7</v>
      </c>
      <c r="D90" s="32">
        <v>3</v>
      </c>
    </row>
    <row r="91" spans="1:4" x14ac:dyDescent="0.2">
      <c r="A91" s="44">
        <v>39142</v>
      </c>
      <c r="B91" s="32">
        <v>2.5425371459999999</v>
      </c>
      <c r="C91" s="32">
        <v>2.8</v>
      </c>
      <c r="D91" s="32">
        <v>3</v>
      </c>
    </row>
    <row r="92" spans="1:4" x14ac:dyDescent="0.2">
      <c r="A92" s="44">
        <v>39173</v>
      </c>
      <c r="B92" s="32">
        <v>2.4706647930000001</v>
      </c>
      <c r="C92" s="32">
        <v>2.9</v>
      </c>
      <c r="D92" s="32">
        <v>3</v>
      </c>
    </row>
    <row r="93" spans="1:4" x14ac:dyDescent="0.2">
      <c r="A93" s="44">
        <v>39203</v>
      </c>
      <c r="B93" s="32">
        <v>2.8586256259999998</v>
      </c>
      <c r="C93" s="32">
        <v>3</v>
      </c>
      <c r="D93" s="32">
        <v>3</v>
      </c>
    </row>
    <row r="94" spans="1:4" x14ac:dyDescent="0.2">
      <c r="A94" s="44">
        <v>39234</v>
      </c>
      <c r="B94" s="32">
        <v>3.214180008</v>
      </c>
      <c r="C94" s="32">
        <v>3</v>
      </c>
      <c r="D94" s="32">
        <v>3.1</v>
      </c>
    </row>
    <row r="95" spans="1:4" x14ac:dyDescent="0.2">
      <c r="A95" s="44">
        <v>39264</v>
      </c>
      <c r="B95" s="32">
        <v>3.8032176610000001</v>
      </c>
      <c r="C95" s="32">
        <v>3.2</v>
      </c>
      <c r="D95" s="32">
        <v>4</v>
      </c>
    </row>
    <row r="96" spans="1:4" x14ac:dyDescent="0.2">
      <c r="A96" s="44">
        <v>39295</v>
      </c>
      <c r="B96" s="32">
        <v>4.6464361639999998</v>
      </c>
      <c r="C96" s="32">
        <v>3.5</v>
      </c>
      <c r="D96" s="32">
        <v>4.5</v>
      </c>
    </row>
    <row r="97" spans="1:4" x14ac:dyDescent="0.2">
      <c r="A97" s="44">
        <v>39326</v>
      </c>
      <c r="B97" s="32">
        <v>5.7976560609999996</v>
      </c>
      <c r="C97" s="32">
        <v>3.5</v>
      </c>
      <c r="D97" s="32">
        <v>4.5</v>
      </c>
    </row>
    <row r="98" spans="1:4" x14ac:dyDescent="0.2">
      <c r="A98" s="44">
        <v>39356</v>
      </c>
      <c r="B98" s="32">
        <v>6.3979663789999996</v>
      </c>
      <c r="C98" s="32">
        <v>3.5</v>
      </c>
      <c r="D98" s="32">
        <v>5.4</v>
      </c>
    </row>
    <row r="99" spans="1:4" x14ac:dyDescent="0.2">
      <c r="A99" s="44">
        <v>39387</v>
      </c>
      <c r="B99" s="32">
        <v>7.3925627629999999</v>
      </c>
      <c r="C99" s="32">
        <v>3.5</v>
      </c>
      <c r="D99" s="32">
        <v>5</v>
      </c>
    </row>
    <row r="100" spans="1:4" x14ac:dyDescent="0.2">
      <c r="A100" s="44">
        <v>39417</v>
      </c>
      <c r="B100" s="32">
        <v>7.7843373859999998</v>
      </c>
      <c r="C100" s="32">
        <v>3.6</v>
      </c>
      <c r="D100" s="32">
        <v>5</v>
      </c>
    </row>
    <row r="101" spans="1:4" x14ac:dyDescent="0.2">
      <c r="A101" s="44">
        <v>39448</v>
      </c>
      <c r="B101" s="32">
        <v>7.4200738729999998</v>
      </c>
      <c r="C101" s="32">
        <v>4</v>
      </c>
      <c r="D101" s="32">
        <v>5</v>
      </c>
    </row>
    <row r="102" spans="1:4" x14ac:dyDescent="0.2">
      <c r="A102" s="44">
        <v>39479</v>
      </c>
      <c r="B102" s="32">
        <v>8.03343366</v>
      </c>
      <c r="C102" s="32">
        <v>3.7</v>
      </c>
      <c r="D102" s="32">
        <v>5</v>
      </c>
    </row>
    <row r="103" spans="1:4" x14ac:dyDescent="0.2">
      <c r="A103" s="44">
        <v>39508</v>
      </c>
      <c r="B103" s="32">
        <v>8.4612113109999996</v>
      </c>
      <c r="C103" s="32">
        <v>4.2</v>
      </c>
      <c r="D103" s="32">
        <v>5</v>
      </c>
    </row>
    <row r="104" spans="1:4" x14ac:dyDescent="0.2">
      <c r="A104" s="44">
        <v>39539</v>
      </c>
      <c r="B104" s="32">
        <v>8.2268959259999992</v>
      </c>
      <c r="C104" s="32">
        <v>4</v>
      </c>
      <c r="D104" s="32">
        <v>5.5</v>
      </c>
    </row>
    <row r="105" spans="1:4" x14ac:dyDescent="0.2">
      <c r="A105" s="44">
        <v>39569</v>
      </c>
      <c r="B105" s="32">
        <v>8.8009948340000008</v>
      </c>
      <c r="C105" s="32">
        <v>4.0999999999999996</v>
      </c>
      <c r="D105" s="32">
        <v>5.5</v>
      </c>
    </row>
    <row r="106" spans="1:4" x14ac:dyDescent="0.2">
      <c r="A106" s="44">
        <v>39600</v>
      </c>
      <c r="B106" s="32">
        <v>9.3936388669999999</v>
      </c>
      <c r="C106" s="32">
        <v>4.5</v>
      </c>
      <c r="D106" s="32">
        <v>6</v>
      </c>
    </row>
    <row r="107" spans="1:4" x14ac:dyDescent="0.2">
      <c r="A107" s="44">
        <v>39630</v>
      </c>
      <c r="B107" s="32">
        <v>9.4053779889999998</v>
      </c>
      <c r="C107" s="32">
        <v>5.5</v>
      </c>
      <c r="D107" s="32">
        <v>8</v>
      </c>
    </row>
    <row r="108" spans="1:4" x14ac:dyDescent="0.2">
      <c r="A108" s="44">
        <v>39661</v>
      </c>
      <c r="B108" s="32">
        <v>9.2590827079999993</v>
      </c>
      <c r="C108" s="32">
        <v>5.5</v>
      </c>
      <c r="D108" s="32">
        <v>8</v>
      </c>
    </row>
    <row r="109" spans="1:4" x14ac:dyDescent="0.2">
      <c r="A109" s="44">
        <v>39692</v>
      </c>
      <c r="B109" s="32">
        <v>9.1967281619999994</v>
      </c>
      <c r="C109" s="32">
        <v>6</v>
      </c>
      <c r="D109" s="32">
        <v>8</v>
      </c>
    </row>
    <row r="110" spans="1:4" x14ac:dyDescent="0.2">
      <c r="A110" s="44">
        <v>39722</v>
      </c>
      <c r="B110" s="32">
        <v>9.8281145530000007</v>
      </c>
      <c r="C110" s="32">
        <v>5.3</v>
      </c>
      <c r="D110" s="32">
        <v>8</v>
      </c>
    </row>
    <row r="111" spans="1:4" x14ac:dyDescent="0.2">
      <c r="A111" s="44">
        <v>39753</v>
      </c>
      <c r="B111" s="32">
        <v>8.8670501179999999</v>
      </c>
      <c r="C111" s="32">
        <v>4.5999999999999996</v>
      </c>
      <c r="D111" s="32">
        <v>7.45</v>
      </c>
    </row>
    <row r="112" spans="1:4" x14ac:dyDescent="0.2">
      <c r="A112" s="44">
        <v>39783</v>
      </c>
      <c r="B112" s="32">
        <v>7.0916860970000002</v>
      </c>
      <c r="C112" s="32">
        <v>3.6</v>
      </c>
      <c r="D112" s="32">
        <v>6</v>
      </c>
    </row>
    <row r="113" spans="1:4" x14ac:dyDescent="0.2">
      <c r="A113" s="44">
        <v>39814</v>
      </c>
      <c r="B113" s="32">
        <v>6.3061582280000001</v>
      </c>
      <c r="C113" s="32">
        <v>3.5</v>
      </c>
      <c r="D113" s="32">
        <v>4.5</v>
      </c>
    </row>
    <row r="114" spans="1:4" x14ac:dyDescent="0.2">
      <c r="A114" s="44">
        <v>39845</v>
      </c>
      <c r="B114" s="32">
        <v>4.5138215119999998</v>
      </c>
      <c r="C114" s="32">
        <v>3</v>
      </c>
      <c r="D114" s="32">
        <v>4</v>
      </c>
    </row>
    <row r="115" spans="1:4" x14ac:dyDescent="0.2">
      <c r="A115" s="44">
        <v>39873</v>
      </c>
      <c r="B115" s="32">
        <v>3.6988424229999999</v>
      </c>
      <c r="C115" s="32">
        <v>2.9</v>
      </c>
      <c r="D115" s="32">
        <v>3</v>
      </c>
    </row>
    <row r="116" spans="1:4" x14ac:dyDescent="0.2">
      <c r="A116" s="44">
        <v>39904</v>
      </c>
      <c r="B116" s="32">
        <v>3.1681581699999999</v>
      </c>
      <c r="C116" s="32">
        <v>2.5</v>
      </c>
      <c r="D116" s="32">
        <v>3.2</v>
      </c>
    </row>
    <row r="117" spans="1:4" x14ac:dyDescent="0.2">
      <c r="A117" s="44">
        <v>39934</v>
      </c>
      <c r="B117" s="32">
        <v>1.771404867</v>
      </c>
      <c r="C117" s="32">
        <v>2.5</v>
      </c>
      <c r="D117" s="32">
        <v>3</v>
      </c>
    </row>
    <row r="118" spans="1:4" x14ac:dyDescent="0.2">
      <c r="A118" s="44">
        <v>39965</v>
      </c>
      <c r="B118" s="32">
        <v>0.61782345000000005</v>
      </c>
      <c r="C118" s="32">
        <v>2.2000000000000002</v>
      </c>
      <c r="D118" s="32">
        <v>2.5</v>
      </c>
    </row>
    <row r="119" spans="1:4" x14ac:dyDescent="0.2">
      <c r="A119" s="44">
        <v>39995</v>
      </c>
      <c r="B119" s="32">
        <v>-0.93582844600000004</v>
      </c>
      <c r="C119" s="32">
        <v>2.1</v>
      </c>
      <c r="D119" s="32">
        <v>2.2000000000000002</v>
      </c>
    </row>
    <row r="120" spans="1:4" x14ac:dyDescent="0.2">
      <c r="A120" s="44">
        <v>40026</v>
      </c>
      <c r="B120" s="32">
        <v>-2.3027698120000002</v>
      </c>
      <c r="C120" s="32">
        <v>2</v>
      </c>
      <c r="D120" s="32">
        <v>2</v>
      </c>
    </row>
    <row r="121" spans="1:4" x14ac:dyDescent="0.2">
      <c r="A121" s="44">
        <v>40057</v>
      </c>
      <c r="B121" s="32">
        <v>-2.230925048</v>
      </c>
      <c r="C121" s="32">
        <v>2.1</v>
      </c>
      <c r="D121" s="32">
        <v>2</v>
      </c>
    </row>
    <row r="122" spans="1:4" x14ac:dyDescent="0.2">
      <c r="A122" s="44">
        <v>40087</v>
      </c>
      <c r="B122" s="32">
        <v>-3.094779135</v>
      </c>
      <c r="C122" s="32">
        <v>2.2999999999999998</v>
      </c>
      <c r="D122" s="32">
        <v>2.5</v>
      </c>
    </row>
    <row r="123" spans="1:4" x14ac:dyDescent="0.2">
      <c r="A123" s="44">
        <v>40118</v>
      </c>
      <c r="B123" s="32">
        <v>-3.359957536</v>
      </c>
      <c r="C123" s="32">
        <v>2.2999999999999998</v>
      </c>
      <c r="D123" s="32">
        <v>2.5</v>
      </c>
    </row>
    <row r="124" spans="1:4" x14ac:dyDescent="0.2">
      <c r="A124" s="44">
        <v>40148</v>
      </c>
      <c r="B124" s="32">
        <v>-2.5780536430000001</v>
      </c>
      <c r="C124" s="32">
        <v>2.2999999999999998</v>
      </c>
      <c r="D124" s="32">
        <v>2.5</v>
      </c>
    </row>
    <row r="125" spans="1:4" x14ac:dyDescent="0.2">
      <c r="A125" s="44">
        <v>40179</v>
      </c>
      <c r="B125" s="32">
        <v>-1.3205882280000001</v>
      </c>
      <c r="C125" s="32">
        <v>2.5</v>
      </c>
      <c r="D125" s="32">
        <v>2.5</v>
      </c>
    </row>
    <row r="126" spans="1:4" x14ac:dyDescent="0.2">
      <c r="A126" s="44">
        <v>40210</v>
      </c>
      <c r="B126" s="32">
        <v>0.25867081800000002</v>
      </c>
      <c r="C126" s="32">
        <v>2.6</v>
      </c>
      <c r="D126" s="32">
        <v>2.8</v>
      </c>
    </row>
    <row r="127" spans="1:4" x14ac:dyDescent="0.2">
      <c r="A127" s="44">
        <v>40238</v>
      </c>
      <c r="B127" s="32">
        <v>0.30346839199999998</v>
      </c>
      <c r="C127" s="32">
        <v>3.2</v>
      </c>
      <c r="D127" s="32">
        <v>3.5</v>
      </c>
    </row>
    <row r="128" spans="1:4" x14ac:dyDescent="0.2">
      <c r="A128" s="44">
        <v>40269</v>
      </c>
      <c r="B128" s="32">
        <v>0.92254294199999998</v>
      </c>
      <c r="C128" s="32">
        <v>3.4</v>
      </c>
      <c r="D128" s="32">
        <v>3.5</v>
      </c>
    </row>
    <row r="129" spans="1:4" x14ac:dyDescent="0.2">
      <c r="A129" s="44">
        <v>40299</v>
      </c>
      <c r="B129" s="32">
        <v>1.5030383329999999</v>
      </c>
      <c r="C129" s="32">
        <v>3.2</v>
      </c>
      <c r="D129" s="32">
        <v>3.5</v>
      </c>
    </row>
    <row r="130" spans="1:4" x14ac:dyDescent="0.2">
      <c r="A130" s="44">
        <v>40330</v>
      </c>
      <c r="B130" s="32">
        <v>1.163940432</v>
      </c>
      <c r="C130" s="32">
        <v>3.4</v>
      </c>
      <c r="D130" s="32">
        <v>3.5</v>
      </c>
    </row>
    <row r="131" spans="1:4" x14ac:dyDescent="0.2">
      <c r="A131" s="44">
        <v>40360</v>
      </c>
      <c r="B131" s="32">
        <v>2.2522962579999999</v>
      </c>
      <c r="C131" s="32">
        <v>3.25</v>
      </c>
      <c r="D131" s="32">
        <v>3.5</v>
      </c>
    </row>
    <row r="132" spans="1:4" x14ac:dyDescent="0.2">
      <c r="A132" s="44">
        <v>40391</v>
      </c>
      <c r="B132" s="32">
        <v>2.6242533909999999</v>
      </c>
      <c r="C132" s="32">
        <v>3.45</v>
      </c>
      <c r="D132" s="32">
        <v>3.5</v>
      </c>
    </row>
    <row r="133" spans="1:4" x14ac:dyDescent="0.2">
      <c r="A133" s="44">
        <v>40422</v>
      </c>
      <c r="B133" s="32">
        <v>1.876405257</v>
      </c>
      <c r="C133" s="32">
        <v>3.3</v>
      </c>
      <c r="D133" s="32">
        <v>3.5</v>
      </c>
    </row>
    <row r="134" spans="1:4" x14ac:dyDescent="0.2">
      <c r="A134" s="44">
        <v>40452</v>
      </c>
      <c r="B134" s="32">
        <v>1.9839690329999999</v>
      </c>
      <c r="C134" s="32">
        <v>3.1</v>
      </c>
      <c r="D134" s="32">
        <v>3.5</v>
      </c>
    </row>
    <row r="135" spans="1:4" x14ac:dyDescent="0.2">
      <c r="A135" s="44">
        <v>40483</v>
      </c>
      <c r="B135" s="32">
        <v>2.4613393860000001</v>
      </c>
      <c r="C135" s="32">
        <v>3.1</v>
      </c>
      <c r="D135" s="32">
        <v>3.3</v>
      </c>
    </row>
    <row r="136" spans="1:4" x14ac:dyDescent="0.2">
      <c r="A136" s="44">
        <v>40513</v>
      </c>
      <c r="B136" s="32">
        <v>2.9728681109999999</v>
      </c>
      <c r="C136" s="32">
        <v>3.2</v>
      </c>
      <c r="D136" s="32">
        <v>3.2</v>
      </c>
    </row>
    <row r="137" spans="1:4" x14ac:dyDescent="0.2">
      <c r="A137" s="44">
        <v>40544</v>
      </c>
      <c r="B137" s="32">
        <v>2.7192676100000002</v>
      </c>
      <c r="C137" s="32">
        <v>3.55</v>
      </c>
      <c r="D137" s="32">
        <v>3.5</v>
      </c>
    </row>
    <row r="138" spans="1:4" x14ac:dyDescent="0.2">
      <c r="A138" s="44">
        <v>40575</v>
      </c>
      <c r="B138" s="32">
        <v>2.667120057</v>
      </c>
      <c r="C138" s="32">
        <v>3.8</v>
      </c>
      <c r="D138" s="32">
        <v>3.7</v>
      </c>
    </row>
    <row r="139" spans="1:4" x14ac:dyDescent="0.2">
      <c r="A139" s="44">
        <v>40603</v>
      </c>
      <c r="B139" s="32">
        <v>3.3652925260000002</v>
      </c>
      <c r="C139" s="32">
        <v>4.0449999999999999</v>
      </c>
      <c r="D139" s="32">
        <v>4.05</v>
      </c>
    </row>
    <row r="140" spans="1:4" x14ac:dyDescent="0.2">
      <c r="A140" s="44">
        <v>40634</v>
      </c>
      <c r="B140" s="32">
        <v>3.217910593</v>
      </c>
      <c r="C140" s="32">
        <v>4</v>
      </c>
      <c r="D140" s="32">
        <v>4</v>
      </c>
    </row>
    <row r="141" spans="1:4" x14ac:dyDescent="0.2">
      <c r="A141" s="44">
        <v>40664</v>
      </c>
      <c r="B141" s="32">
        <v>3.2590621999999998</v>
      </c>
      <c r="C141" s="32">
        <v>4</v>
      </c>
      <c r="D141" s="32">
        <v>4</v>
      </c>
    </row>
    <row r="142" spans="1:4" x14ac:dyDescent="0.2">
      <c r="A142" s="44">
        <v>40695</v>
      </c>
      <c r="B142" s="32">
        <v>3.4339216459999999</v>
      </c>
      <c r="C142" s="32">
        <v>3.7</v>
      </c>
      <c r="D142" s="32">
        <v>4</v>
      </c>
    </row>
    <row r="143" spans="1:4" x14ac:dyDescent="0.2">
      <c r="A143" s="44">
        <v>40725</v>
      </c>
      <c r="B143" s="32">
        <v>2.9041992429999999</v>
      </c>
      <c r="C143" s="32">
        <v>3.5</v>
      </c>
      <c r="D143" s="32">
        <v>4</v>
      </c>
    </row>
    <row r="144" spans="1:4" x14ac:dyDescent="0.2">
      <c r="A144" s="44">
        <v>40756</v>
      </c>
      <c r="B144" s="32">
        <v>3.1724843069999999</v>
      </c>
      <c r="C144" s="32">
        <v>3.2</v>
      </c>
      <c r="D144" s="32">
        <v>4</v>
      </c>
    </row>
    <row r="145" spans="1:20" x14ac:dyDescent="0.2">
      <c r="A145" s="44">
        <v>40787</v>
      </c>
      <c r="B145" s="32">
        <v>3.272251786</v>
      </c>
      <c r="C145" s="32">
        <v>3</v>
      </c>
      <c r="D145" s="32">
        <v>3.5</v>
      </c>
    </row>
    <row r="146" spans="1:20" x14ac:dyDescent="0.2">
      <c r="A146" s="44">
        <v>40817</v>
      </c>
      <c r="B146" s="32">
        <v>3.6719000409999998</v>
      </c>
      <c r="C146" s="32">
        <v>3</v>
      </c>
      <c r="D146" s="32">
        <v>3.5</v>
      </c>
    </row>
    <row r="147" spans="1:20" x14ac:dyDescent="0.2">
      <c r="A147" s="44">
        <v>40848</v>
      </c>
      <c r="B147" s="32">
        <v>3.9277117050000001</v>
      </c>
      <c r="C147" s="32">
        <v>3</v>
      </c>
      <c r="D147" s="32">
        <v>3.5</v>
      </c>
    </row>
    <row r="148" spans="1:20" x14ac:dyDescent="0.2">
      <c r="A148" s="33">
        <v>40878</v>
      </c>
      <c r="B148" s="31">
        <v>4.4377327979999999</v>
      </c>
      <c r="C148" s="32">
        <v>2.9</v>
      </c>
      <c r="D148" s="32">
        <v>3.6709876543209901</v>
      </c>
      <c r="E148" s="18">
        <f>B147</f>
        <v>3.9277117050000001</v>
      </c>
      <c r="F148" s="18">
        <f>AVERAGE($B$4:B147)</f>
        <v>3.1907553627708327</v>
      </c>
      <c r="G148" s="18">
        <f>AVERAGE(B98:B147)</f>
        <v>3.6749275098999994</v>
      </c>
      <c r="H148" s="19">
        <v>3</v>
      </c>
      <c r="I148" s="30">
        <f t="shared" ref="I148:I179" si="0">B148-C148</f>
        <v>1.537732798</v>
      </c>
      <c r="J148" s="30">
        <f t="shared" ref="J148:J179" si="1">B148-D148</f>
        <v>0.76674514367900981</v>
      </c>
      <c r="K148" s="30">
        <f t="shared" ref="K148:K179" si="2">B148-E148</f>
        <v>0.51002109299999976</v>
      </c>
      <c r="L148" s="30">
        <f>B148-F148</f>
        <v>1.2469774352291672</v>
      </c>
      <c r="M148" s="30">
        <f t="shared" ref="M148:M179" si="3">B148-G148</f>
        <v>0.76280528810000048</v>
      </c>
      <c r="N148" s="30">
        <f>B148-H148</f>
        <v>1.4377327979999999</v>
      </c>
      <c r="O148" s="28">
        <f>I148^2</f>
        <v>2.3646221580449085</v>
      </c>
      <c r="P148" s="28">
        <f t="shared" ref="P148:T148" si="4">J148^2</f>
        <v>0.58789811535534542</v>
      </c>
      <c r="Q148" s="28">
        <f t="shared" si="4"/>
        <v>0.2601215153049144</v>
      </c>
      <c r="R148" s="28">
        <f t="shared" si="4"/>
        <v>1.5549527239707117</v>
      </c>
      <c r="S148" s="28">
        <f t="shared" si="4"/>
        <v>0.58187190755332474</v>
      </c>
      <c r="T148" s="28">
        <f t="shared" si="4"/>
        <v>2.0670755984449083</v>
      </c>
    </row>
    <row r="149" spans="1:20" x14ac:dyDescent="0.2">
      <c r="A149" s="44">
        <v>40909</v>
      </c>
      <c r="B149" s="1">
        <v>4.2474617290000003</v>
      </c>
      <c r="C149" s="1">
        <v>3</v>
      </c>
      <c r="D149" s="1">
        <v>3.8027210884353799</v>
      </c>
      <c r="E149" s="18">
        <f>B148</f>
        <v>4.4377327979999999</v>
      </c>
      <c r="F149" s="18">
        <f>AVERAGE($B$4:B148)</f>
        <v>3.1993552071517235</v>
      </c>
      <c r="G149" s="18">
        <f t="shared" ref="G149:G212" si="5">AVERAGE(B99:B148)</f>
        <v>3.6357228382799986</v>
      </c>
      <c r="H149" s="19">
        <v>3</v>
      </c>
      <c r="I149" s="30">
        <f t="shared" si="0"/>
        <v>1.2474617290000003</v>
      </c>
      <c r="J149" s="30">
        <f t="shared" si="1"/>
        <v>0.44474064056462037</v>
      </c>
      <c r="K149" s="30">
        <f t="shared" si="2"/>
        <v>-0.19027106899999957</v>
      </c>
      <c r="L149" s="30">
        <f t="shared" ref="L149:L179" si="6">B149-F149</f>
        <v>1.0481065218482768</v>
      </c>
      <c r="M149" s="30">
        <f t="shared" si="3"/>
        <v>0.61173889072000165</v>
      </c>
      <c r="N149" s="30">
        <f t="shared" ref="N149:N212" si="7">B149-H149</f>
        <v>1.2474617290000003</v>
      </c>
      <c r="O149" s="28">
        <f t="shared" ref="O149:O212" si="8">I149^2</f>
        <v>1.5561607653196703</v>
      </c>
      <c r="P149" s="28">
        <f t="shared" ref="P149:P212" si="9">J149^2</f>
        <v>0.19779423736982885</v>
      </c>
      <c r="Q149" s="28">
        <f t="shared" ref="Q149:Q212" si="10">K149^2</f>
        <v>3.6203079698402599E-2</v>
      </c>
      <c r="R149" s="28">
        <f t="shared" ref="R149:R212" si="11">L149^2</f>
        <v>1.0985272811408924</v>
      </c>
      <c r="S149" s="28">
        <f t="shared" ref="S149:S212" si="12">M149^2</f>
        <v>0.3742244704193381</v>
      </c>
      <c r="T149" s="28">
        <f t="shared" ref="T149:T212" si="13">N149^2</f>
        <v>1.5561607653196703</v>
      </c>
    </row>
    <row r="150" spans="1:20" x14ac:dyDescent="0.2">
      <c r="A150" s="44">
        <v>40940</v>
      </c>
      <c r="B150" s="1">
        <v>4.4121148809999999</v>
      </c>
      <c r="C150" s="1">
        <v>3</v>
      </c>
      <c r="D150" s="1">
        <v>3.7865497076023402</v>
      </c>
      <c r="E150" s="18">
        <f>B149</f>
        <v>4.2474617290000003</v>
      </c>
      <c r="F150" s="18">
        <f>AVERAGE($B$4:B149)</f>
        <v>3.206534018945205</v>
      </c>
      <c r="G150" s="18">
        <f t="shared" si="5"/>
        <v>3.5728208175999994</v>
      </c>
      <c r="H150" s="19">
        <v>3</v>
      </c>
      <c r="I150" s="30">
        <f t="shared" si="0"/>
        <v>1.4121148809999999</v>
      </c>
      <c r="J150" s="30">
        <f t="shared" si="1"/>
        <v>0.62556517339765971</v>
      </c>
      <c r="K150" s="30">
        <f t="shared" si="2"/>
        <v>0.16465315199999964</v>
      </c>
      <c r="L150" s="30">
        <f t="shared" si="6"/>
        <v>1.205580862054795</v>
      </c>
      <c r="M150" s="30">
        <f t="shared" si="3"/>
        <v>0.83929406340000057</v>
      </c>
      <c r="N150" s="30">
        <f t="shared" si="7"/>
        <v>1.4121148809999999</v>
      </c>
      <c r="O150" s="28">
        <f t="shared" si="8"/>
        <v>1.9940684371416439</v>
      </c>
      <c r="P150" s="28">
        <f t="shared" si="9"/>
        <v>0.39133178616804404</v>
      </c>
      <c r="Q150" s="28">
        <f t="shared" si="10"/>
        <v>2.7110660463534983E-2</v>
      </c>
      <c r="R150" s="28">
        <f t="shared" si="11"/>
        <v>1.4534252149527827</v>
      </c>
      <c r="S150" s="28">
        <f t="shared" si="12"/>
        <v>0.70441452485848421</v>
      </c>
      <c r="T150" s="28">
        <f t="shared" si="13"/>
        <v>1.9940684371416439</v>
      </c>
    </row>
    <row r="151" spans="1:20" x14ac:dyDescent="0.2">
      <c r="A151" s="44">
        <v>40969</v>
      </c>
      <c r="B151" s="1">
        <v>3.7888494170000002</v>
      </c>
      <c r="C151" s="1">
        <v>3.2</v>
      </c>
      <c r="D151" s="1">
        <v>3.875</v>
      </c>
      <c r="E151" s="18">
        <f>B150</f>
        <v>4.4121148809999999</v>
      </c>
      <c r="F151" s="18">
        <f>AVERAGE($B$4:B150)</f>
        <v>3.2147352492993191</v>
      </c>
      <c r="G151" s="18">
        <f t="shared" si="5"/>
        <v>3.5053763674999998</v>
      </c>
      <c r="H151" s="19">
        <v>3</v>
      </c>
      <c r="I151" s="30">
        <f t="shared" si="0"/>
        <v>0.58884941700000004</v>
      </c>
      <c r="J151" s="30">
        <f t="shared" si="1"/>
        <v>-8.6150582999999781E-2</v>
      </c>
      <c r="K151" s="30">
        <f t="shared" si="2"/>
        <v>-0.62326546399999971</v>
      </c>
      <c r="L151" s="30">
        <f t="shared" si="6"/>
        <v>0.57411416770068113</v>
      </c>
      <c r="M151" s="30">
        <f t="shared" si="3"/>
        <v>0.28347304950000041</v>
      </c>
      <c r="N151" s="30">
        <f t="shared" si="7"/>
        <v>0.78884941700000022</v>
      </c>
      <c r="O151" s="28">
        <f t="shared" si="8"/>
        <v>0.34674363590123991</v>
      </c>
      <c r="P151" s="28">
        <f t="shared" si="9"/>
        <v>7.4219229512398508E-3</v>
      </c>
      <c r="Q151" s="28">
        <f t="shared" si="10"/>
        <v>0.38845983861513494</v>
      </c>
      <c r="R151" s="28">
        <f t="shared" si="11"/>
        <v>0.3296070775546458</v>
      </c>
      <c r="S151" s="28">
        <f t="shared" si="12"/>
        <v>8.0356969792829677E-2</v>
      </c>
      <c r="T151" s="28">
        <f t="shared" si="13"/>
        <v>0.62228340270124027</v>
      </c>
    </row>
    <row r="152" spans="1:20" x14ac:dyDescent="0.2">
      <c r="A152" s="44">
        <v>41000</v>
      </c>
      <c r="B152" s="1">
        <v>3.5113179140000002</v>
      </c>
      <c r="C152" s="1">
        <v>3.3</v>
      </c>
      <c r="D152" s="1">
        <v>3.8891566265060198</v>
      </c>
      <c r="E152" s="18">
        <f t="shared" ref="E152:E212" si="14">B151</f>
        <v>3.7888494170000002</v>
      </c>
      <c r="F152" s="18">
        <f>AVERAGE($B$4:B151)</f>
        <v>3.2186143990810807</v>
      </c>
      <c r="G152" s="18">
        <f t="shared" si="5"/>
        <v>3.4327518783800004</v>
      </c>
      <c r="H152" s="19">
        <v>3</v>
      </c>
      <c r="I152" s="30">
        <f t="shared" si="0"/>
        <v>0.21131791400000033</v>
      </c>
      <c r="J152" s="30">
        <f t="shared" si="1"/>
        <v>-0.37783871250601964</v>
      </c>
      <c r="K152" s="30">
        <f t="shared" si="2"/>
        <v>-0.27753150300000007</v>
      </c>
      <c r="L152" s="30">
        <f t="shared" si="6"/>
        <v>0.29270351491891944</v>
      </c>
      <c r="M152" s="30">
        <f t="shared" si="3"/>
        <v>7.8566035619999752E-2</v>
      </c>
      <c r="N152" s="30">
        <f t="shared" si="7"/>
        <v>0.51131791400000015</v>
      </c>
      <c r="O152" s="28">
        <f t="shared" si="8"/>
        <v>4.4655260777311537E-2</v>
      </c>
      <c r="P152" s="28">
        <f t="shared" si="9"/>
        <v>0.14276209266820655</v>
      </c>
      <c r="Q152" s="28">
        <f t="shared" si="10"/>
        <v>7.7023735157439044E-2</v>
      </c>
      <c r="R152" s="28">
        <f t="shared" si="11"/>
        <v>8.567534764589009E-2</v>
      </c>
      <c r="S152" s="28">
        <f t="shared" si="12"/>
        <v>6.1726219530430695E-3</v>
      </c>
      <c r="T152" s="28">
        <f t="shared" si="13"/>
        <v>0.26144600917731153</v>
      </c>
    </row>
    <row r="153" spans="1:20" x14ac:dyDescent="0.2">
      <c r="A153" s="44">
        <v>41030</v>
      </c>
      <c r="B153" s="1">
        <v>3.1307115250000002</v>
      </c>
      <c r="C153" s="1">
        <v>3.3</v>
      </c>
      <c r="D153" s="1">
        <v>3.7082122905027899</v>
      </c>
      <c r="E153" s="18">
        <f t="shared" si="14"/>
        <v>3.5113179140000002</v>
      </c>
      <c r="F153" s="18">
        <f>AVERAGE($B$4:B152)</f>
        <v>3.2205788522013417</v>
      </c>
      <c r="G153" s="18">
        <f t="shared" si="5"/>
        <v>3.3423095634600002</v>
      </c>
      <c r="H153" s="19">
        <v>3</v>
      </c>
      <c r="I153" s="30">
        <f t="shared" si="0"/>
        <v>-0.16928847499999966</v>
      </c>
      <c r="J153" s="30">
        <f t="shared" si="1"/>
        <v>-0.57750076550278973</v>
      </c>
      <c r="K153" s="30">
        <f t="shared" si="2"/>
        <v>-0.38060638899999999</v>
      </c>
      <c r="L153" s="30">
        <f t="shared" si="6"/>
        <v>-8.9867327201341496E-2</v>
      </c>
      <c r="M153" s="30">
        <f t="shared" si="3"/>
        <v>-0.21159803846000003</v>
      </c>
      <c r="N153" s="30">
        <f t="shared" si="7"/>
        <v>0.13071152500000016</v>
      </c>
      <c r="O153" s="28">
        <f t="shared" si="8"/>
        <v>2.8658587767825511E-2</v>
      </c>
      <c r="P153" s="28">
        <f t="shared" si="9"/>
        <v>0.33350713415630812</v>
      </c>
      <c r="Q153" s="28">
        <f t="shared" si="10"/>
        <v>0.14486122334761931</v>
      </c>
      <c r="R153" s="28">
        <f t="shared" si="11"/>
        <v>8.0761364983129736E-3</v>
      </c>
      <c r="S153" s="28">
        <f t="shared" si="12"/>
        <v>4.4773729880119649E-2</v>
      </c>
      <c r="T153" s="28">
        <f t="shared" si="13"/>
        <v>1.7085502767825667E-2</v>
      </c>
    </row>
    <row r="154" spans="1:20" x14ac:dyDescent="0.2">
      <c r="A154" s="44">
        <v>41061</v>
      </c>
      <c r="B154" s="1">
        <v>2.65108839</v>
      </c>
      <c r="C154" s="1">
        <v>3</v>
      </c>
      <c r="D154" s="1">
        <v>3.5587096774193601</v>
      </c>
      <c r="E154" s="18">
        <f t="shared" si="14"/>
        <v>3.1307115250000002</v>
      </c>
      <c r="F154" s="18">
        <f>AVERAGE($B$4:B153)</f>
        <v>3.2199797366866663</v>
      </c>
      <c r="G154" s="18">
        <f t="shared" si="5"/>
        <v>3.2356995677400011</v>
      </c>
      <c r="H154" s="19">
        <v>3</v>
      </c>
      <c r="I154" s="30">
        <f t="shared" si="0"/>
        <v>-0.34891161000000004</v>
      </c>
      <c r="J154" s="30">
        <f t="shared" si="1"/>
        <v>-0.9076212874193601</v>
      </c>
      <c r="K154" s="30">
        <f t="shared" si="2"/>
        <v>-0.4796231350000002</v>
      </c>
      <c r="L154" s="30">
        <f t="shared" si="6"/>
        <v>-0.5688913466866663</v>
      </c>
      <c r="M154" s="30">
        <f t="shared" si="3"/>
        <v>-0.58461117774000115</v>
      </c>
      <c r="N154" s="30">
        <f t="shared" si="7"/>
        <v>-0.34891161000000004</v>
      </c>
      <c r="O154" s="28">
        <f t="shared" si="8"/>
        <v>0.12173931159279212</v>
      </c>
      <c r="P154" s="28">
        <f t="shared" si="9"/>
        <v>0.82377640137677666</v>
      </c>
      <c r="Q154" s="28">
        <f t="shared" si="10"/>
        <v>0.23003835162722841</v>
      </c>
      <c r="R154" s="28">
        <f t="shared" si="11"/>
        <v>0.32363736433496876</v>
      </c>
      <c r="S154" s="28">
        <f t="shared" si="12"/>
        <v>0.34177022913855121</v>
      </c>
      <c r="T154" s="28">
        <f t="shared" si="13"/>
        <v>0.12173931159279212</v>
      </c>
    </row>
    <row r="155" spans="1:20" x14ac:dyDescent="0.2">
      <c r="A155" s="44">
        <v>41091</v>
      </c>
      <c r="B155" s="1">
        <v>2.5074451139999998</v>
      </c>
      <c r="C155" s="1">
        <v>2.9</v>
      </c>
      <c r="D155" s="1">
        <v>3.2641509433962299</v>
      </c>
      <c r="E155" s="18">
        <f t="shared" si="14"/>
        <v>2.65108839</v>
      </c>
      <c r="F155" s="18">
        <f>AVERAGE($B$4:B154)</f>
        <v>3.2162122443245025</v>
      </c>
      <c r="G155" s="18">
        <f t="shared" si="5"/>
        <v>3.1241834170200011</v>
      </c>
      <c r="H155" s="19">
        <v>3</v>
      </c>
      <c r="I155" s="30">
        <f t="shared" si="0"/>
        <v>-0.3925548860000001</v>
      </c>
      <c r="J155" s="30">
        <f t="shared" si="1"/>
        <v>-0.7567058293962301</v>
      </c>
      <c r="K155" s="30">
        <f t="shared" si="2"/>
        <v>-0.14364327600000015</v>
      </c>
      <c r="L155" s="30">
        <f t="shared" si="6"/>
        <v>-0.70876713032450267</v>
      </c>
      <c r="M155" s="30">
        <f t="shared" si="3"/>
        <v>-0.61673830302000132</v>
      </c>
      <c r="N155" s="30">
        <f t="shared" si="7"/>
        <v>-0.49255488600000019</v>
      </c>
      <c r="O155" s="28">
        <f t="shared" si="8"/>
        <v>0.15409933852247307</v>
      </c>
      <c r="P155" s="28">
        <f t="shared" si="9"/>
        <v>0.5726037122422365</v>
      </c>
      <c r="Q155" s="28">
        <f t="shared" si="10"/>
        <v>2.063339074001222E-2</v>
      </c>
      <c r="R155" s="28">
        <f t="shared" si="11"/>
        <v>0.50235084502843053</v>
      </c>
      <c r="S155" s="28">
        <f t="shared" si="12"/>
        <v>0.38036613441199096</v>
      </c>
      <c r="T155" s="28">
        <f t="shared" si="13"/>
        <v>0.24261031572247319</v>
      </c>
    </row>
    <row r="156" spans="1:20" x14ac:dyDescent="0.2">
      <c r="A156" s="44">
        <v>41122</v>
      </c>
      <c r="B156" s="1">
        <v>2.5678298860000002</v>
      </c>
      <c r="C156" s="1">
        <v>2.9</v>
      </c>
      <c r="D156" s="1">
        <v>3.1270270270270299</v>
      </c>
      <c r="E156" s="18">
        <f t="shared" si="14"/>
        <v>2.5074451139999998</v>
      </c>
      <c r="F156" s="18">
        <f>AVERAGE($B$4:B155)</f>
        <v>3.2115493026776307</v>
      </c>
      <c r="G156" s="18">
        <f t="shared" si="5"/>
        <v>2.9983124226200011</v>
      </c>
      <c r="H156" s="19">
        <v>3</v>
      </c>
      <c r="I156" s="30">
        <f t="shared" si="0"/>
        <v>-0.33217011399999974</v>
      </c>
      <c r="J156" s="30">
        <f t="shared" si="1"/>
        <v>-0.55919714102702978</v>
      </c>
      <c r="K156" s="30">
        <f t="shared" si="2"/>
        <v>6.0384772000000364E-2</v>
      </c>
      <c r="L156" s="30">
        <f t="shared" si="6"/>
        <v>-0.64371941667763055</v>
      </c>
      <c r="M156" s="30">
        <f t="shared" si="3"/>
        <v>-0.43048253662000091</v>
      </c>
      <c r="N156" s="30">
        <f t="shared" si="7"/>
        <v>-0.43217011399999983</v>
      </c>
      <c r="O156" s="28">
        <f t="shared" si="8"/>
        <v>0.11033698463477282</v>
      </c>
      <c r="P156" s="28">
        <f t="shared" si="9"/>
        <v>0.31270144253280385</v>
      </c>
      <c r="Q156" s="28">
        <f t="shared" si="10"/>
        <v>3.6463206894920279E-3</v>
      </c>
      <c r="R156" s="28">
        <f t="shared" si="11"/>
        <v>0.41437468740778893</v>
      </c>
      <c r="S156" s="28">
        <f t="shared" si="12"/>
        <v>0.18531521433479042</v>
      </c>
      <c r="T156" s="28">
        <f t="shared" si="13"/>
        <v>0.18677100743477285</v>
      </c>
    </row>
    <row r="157" spans="1:20" x14ac:dyDescent="0.2">
      <c r="A157" s="44">
        <v>41153</v>
      </c>
      <c r="B157" s="1">
        <v>2.8449680590000002</v>
      </c>
      <c r="C157" s="1">
        <v>3</v>
      </c>
      <c r="D157" s="1">
        <v>3.1348993288590599</v>
      </c>
      <c r="E157" s="18">
        <f t="shared" si="14"/>
        <v>2.5678298860000002</v>
      </c>
      <c r="F157" s="18">
        <f>AVERAGE($B$4:B156)</f>
        <v>3.2073419862287578</v>
      </c>
      <c r="G157" s="18">
        <f t="shared" si="5"/>
        <v>2.8617962430000006</v>
      </c>
      <c r="H157" s="19">
        <v>3</v>
      </c>
      <c r="I157" s="30">
        <f t="shared" si="0"/>
        <v>-0.15503194099999984</v>
      </c>
      <c r="J157" s="30">
        <f t="shared" si="1"/>
        <v>-0.2899312698590597</v>
      </c>
      <c r="K157" s="30">
        <f t="shared" si="2"/>
        <v>0.27713817299999999</v>
      </c>
      <c r="L157" s="30">
        <f t="shared" si="6"/>
        <v>-0.36237392722875761</v>
      </c>
      <c r="M157" s="30">
        <f t="shared" si="3"/>
        <v>-1.6828184000000412E-2</v>
      </c>
      <c r="N157" s="30">
        <f t="shared" si="7"/>
        <v>-0.15503194099999984</v>
      </c>
      <c r="O157" s="28">
        <f t="shared" si="8"/>
        <v>2.4034902730227431E-2</v>
      </c>
      <c r="P157" s="28">
        <f t="shared" si="9"/>
        <v>8.4060141242086897E-2</v>
      </c>
      <c r="Q157" s="28">
        <f t="shared" si="10"/>
        <v>7.6805566933777922E-2</v>
      </c>
      <c r="R157" s="28">
        <f t="shared" si="11"/>
        <v>0.13131486313519292</v>
      </c>
      <c r="S157" s="28">
        <f t="shared" si="12"/>
        <v>2.8318777673786989E-4</v>
      </c>
      <c r="T157" s="28">
        <f t="shared" si="13"/>
        <v>2.4034902730227431E-2</v>
      </c>
    </row>
    <row r="158" spans="1:20" x14ac:dyDescent="0.2">
      <c r="A158" s="44">
        <v>41183</v>
      </c>
      <c r="B158" s="1">
        <v>2.9199481629999999</v>
      </c>
      <c r="C158" s="1">
        <v>3</v>
      </c>
      <c r="D158" s="1">
        <v>3.2374999999999998</v>
      </c>
      <c r="E158" s="18">
        <f t="shared" si="14"/>
        <v>2.8449680590000002</v>
      </c>
      <c r="F158" s="18">
        <f>AVERAGE($B$4:B157)</f>
        <v>3.2049889087792205</v>
      </c>
      <c r="G158" s="18">
        <f t="shared" si="5"/>
        <v>2.7305880443999997</v>
      </c>
      <c r="H158" s="19">
        <v>3</v>
      </c>
      <c r="I158" s="30">
        <f t="shared" si="0"/>
        <v>-8.005183700000007E-2</v>
      </c>
      <c r="J158" s="30">
        <f t="shared" si="1"/>
        <v>-0.31755183699999989</v>
      </c>
      <c r="K158" s="30">
        <f t="shared" si="2"/>
        <v>7.498010399999977E-2</v>
      </c>
      <c r="L158" s="30">
        <f t="shared" si="6"/>
        <v>-0.28504074577922056</v>
      </c>
      <c r="M158" s="30">
        <f t="shared" si="3"/>
        <v>0.18936011860000024</v>
      </c>
      <c r="N158" s="30">
        <f t="shared" si="7"/>
        <v>-8.005183700000007E-2</v>
      </c>
      <c r="O158" s="28">
        <f t="shared" si="8"/>
        <v>6.4082966070745798E-3</v>
      </c>
      <c r="P158" s="28">
        <f t="shared" si="9"/>
        <v>0.1008391691820745</v>
      </c>
      <c r="Q158" s="28">
        <f t="shared" si="10"/>
        <v>5.6220159958507814E-3</v>
      </c>
      <c r="R158" s="28">
        <f t="shared" si="11"/>
        <v>8.124822675437425E-2</v>
      </c>
      <c r="S158" s="28">
        <f t="shared" si="12"/>
        <v>3.5857254516206159E-2</v>
      </c>
      <c r="T158" s="28">
        <f t="shared" si="13"/>
        <v>6.4082966070745798E-3</v>
      </c>
    </row>
    <row r="159" spans="1:20" x14ac:dyDescent="0.2">
      <c r="A159" s="44">
        <v>41214</v>
      </c>
      <c r="B159" s="1">
        <v>2.1323437709999999</v>
      </c>
      <c r="C159" s="1">
        <v>3</v>
      </c>
      <c r="D159" s="1">
        <v>3.2327380952381</v>
      </c>
      <c r="E159" s="18">
        <f t="shared" si="14"/>
        <v>2.9199481629999999</v>
      </c>
      <c r="F159" s="18">
        <f>AVERAGE($B$4:B158)</f>
        <v>3.203149936225806</v>
      </c>
      <c r="G159" s="18">
        <f t="shared" si="5"/>
        <v>2.603805353499999</v>
      </c>
      <c r="H159" s="19">
        <v>3</v>
      </c>
      <c r="I159" s="30">
        <f t="shared" si="0"/>
        <v>-0.86765622900000006</v>
      </c>
      <c r="J159" s="30">
        <f t="shared" si="1"/>
        <v>-1.1003943242381</v>
      </c>
      <c r="K159" s="30">
        <f t="shared" si="2"/>
        <v>-0.78760439199999999</v>
      </c>
      <c r="L159" s="30">
        <f t="shared" si="6"/>
        <v>-1.0708061652258061</v>
      </c>
      <c r="M159" s="30">
        <f t="shared" si="3"/>
        <v>-0.47146158249999903</v>
      </c>
      <c r="N159" s="30">
        <f t="shared" si="7"/>
        <v>-0.86765622900000006</v>
      </c>
      <c r="O159" s="28">
        <f t="shared" si="8"/>
        <v>0.75282733172250049</v>
      </c>
      <c r="P159" s="28">
        <f t="shared" si="9"/>
        <v>1.2108676688154247</v>
      </c>
      <c r="Q159" s="28">
        <f t="shared" si="10"/>
        <v>0.62032067829768966</v>
      </c>
      <c r="R159" s="28">
        <f t="shared" si="11"/>
        <v>1.1466258434855963</v>
      </c>
      <c r="S159" s="28">
        <f t="shared" si="12"/>
        <v>0.22227602377340339</v>
      </c>
      <c r="T159" s="28">
        <f t="shared" si="13"/>
        <v>0.75282733172250049</v>
      </c>
    </row>
    <row r="160" spans="1:20" x14ac:dyDescent="0.2">
      <c r="A160" s="44">
        <v>41244</v>
      </c>
      <c r="B160" s="1">
        <v>1.486964626</v>
      </c>
      <c r="C160" s="1">
        <v>3</v>
      </c>
      <c r="D160" s="1">
        <v>3.10994152046784</v>
      </c>
      <c r="E160" s="18">
        <f t="shared" si="14"/>
        <v>2.1323437709999999</v>
      </c>
      <c r="F160" s="18">
        <f>AVERAGE($B$4:B159)</f>
        <v>3.1962857941410254</v>
      </c>
      <c r="G160" s="18">
        <f t="shared" si="5"/>
        <v>2.4625176656799992</v>
      </c>
      <c r="H160" s="19">
        <v>3</v>
      </c>
      <c r="I160" s="30">
        <f t="shared" si="0"/>
        <v>-1.513035374</v>
      </c>
      <c r="J160" s="30">
        <f t="shared" si="1"/>
        <v>-1.62297689446784</v>
      </c>
      <c r="K160" s="30">
        <f t="shared" si="2"/>
        <v>-0.64537914499999993</v>
      </c>
      <c r="L160" s="30">
        <f t="shared" si="6"/>
        <v>-1.7093211681410254</v>
      </c>
      <c r="M160" s="30">
        <f t="shared" si="3"/>
        <v>-0.97555303967999918</v>
      </c>
      <c r="N160" s="30">
        <f t="shared" si="7"/>
        <v>-1.513035374</v>
      </c>
      <c r="O160" s="28">
        <f t="shared" si="8"/>
        <v>2.2892760429753198</v>
      </c>
      <c r="P160" s="28">
        <f t="shared" si="9"/>
        <v>2.6340539999764743</v>
      </c>
      <c r="Q160" s="28">
        <f t="shared" si="10"/>
        <v>0.41651424080093091</v>
      </c>
      <c r="R160" s="28">
        <f t="shared" si="11"/>
        <v>2.9217788558549995</v>
      </c>
      <c r="S160" s="28">
        <f t="shared" si="12"/>
        <v>0.95170373322888602</v>
      </c>
      <c r="T160" s="28">
        <f t="shared" si="13"/>
        <v>2.2892760429753198</v>
      </c>
    </row>
    <row r="161" spans="1:20" x14ac:dyDescent="0.2">
      <c r="A161" s="44">
        <v>41275</v>
      </c>
      <c r="B161" s="1">
        <v>1.577965321</v>
      </c>
      <c r="C161" s="1">
        <v>3</v>
      </c>
      <c r="D161" s="1">
        <v>3.0530487804878099</v>
      </c>
      <c r="E161" s="18">
        <f t="shared" si="14"/>
        <v>1.486964626</v>
      </c>
      <c r="F161" s="18">
        <f>AVERAGE($B$4:B160)</f>
        <v>3.1853983981656047</v>
      </c>
      <c r="G161" s="18">
        <f t="shared" si="5"/>
        <v>2.2956946671399994</v>
      </c>
      <c r="H161" s="19">
        <v>3</v>
      </c>
      <c r="I161" s="30">
        <f t="shared" si="0"/>
        <v>-1.422034679</v>
      </c>
      <c r="J161" s="30">
        <f t="shared" si="1"/>
        <v>-1.4750834594878099</v>
      </c>
      <c r="K161" s="30">
        <f t="shared" si="2"/>
        <v>9.1000694999999965E-2</v>
      </c>
      <c r="L161" s="30">
        <f t="shared" si="6"/>
        <v>-1.6074330771656047</v>
      </c>
      <c r="M161" s="30">
        <f t="shared" si="3"/>
        <v>-0.71772934613999939</v>
      </c>
      <c r="N161" s="30">
        <f t="shared" si="7"/>
        <v>-1.422034679</v>
      </c>
      <c r="O161" s="28">
        <f t="shared" si="8"/>
        <v>2.022182628278633</v>
      </c>
      <c r="P161" s="28">
        <f t="shared" si="9"/>
        <v>2.1758712124545254</v>
      </c>
      <c r="Q161" s="28">
        <f t="shared" si="10"/>
        <v>8.2811264904830185E-3</v>
      </c>
      <c r="R161" s="28">
        <f t="shared" si="11"/>
        <v>2.583841097566085</v>
      </c>
      <c r="S161" s="28">
        <f t="shared" si="12"/>
        <v>0.5151354143105511</v>
      </c>
      <c r="T161" s="28">
        <f t="shared" si="13"/>
        <v>2.022182628278633</v>
      </c>
    </row>
    <row r="162" spans="1:20" x14ac:dyDescent="0.2">
      <c r="A162" s="44">
        <v>41306</v>
      </c>
      <c r="B162" s="1">
        <v>1.3049116350000001</v>
      </c>
      <c r="C162" s="1">
        <v>3</v>
      </c>
      <c r="D162" s="1">
        <v>2.94965986394558</v>
      </c>
      <c r="E162" s="18">
        <f t="shared" si="14"/>
        <v>1.577965321</v>
      </c>
      <c r="F162" s="18">
        <f>AVERAGE($B$4:B161)</f>
        <v>3.1752247710949364</v>
      </c>
      <c r="G162" s="18">
        <f t="shared" si="5"/>
        <v>2.1499129711999991</v>
      </c>
      <c r="H162" s="19">
        <v>3</v>
      </c>
      <c r="I162" s="30">
        <f t="shared" si="0"/>
        <v>-1.6950883649999999</v>
      </c>
      <c r="J162" s="30">
        <f t="shared" si="1"/>
        <v>-1.6447482289455799</v>
      </c>
      <c r="K162" s="30">
        <f t="shared" si="2"/>
        <v>-0.27305368599999991</v>
      </c>
      <c r="L162" s="30">
        <f t="shared" si="6"/>
        <v>-1.8703131360949363</v>
      </c>
      <c r="M162" s="30">
        <f t="shared" si="3"/>
        <v>-0.84500133619999906</v>
      </c>
      <c r="N162" s="30">
        <f t="shared" si="7"/>
        <v>-1.6950883649999999</v>
      </c>
      <c r="O162" s="28">
        <f t="shared" si="8"/>
        <v>2.8733245651583732</v>
      </c>
      <c r="P162" s="28">
        <f t="shared" si="9"/>
        <v>2.7051967366196217</v>
      </c>
      <c r="Q162" s="28">
        <f t="shared" si="10"/>
        <v>7.4558315438186543E-2</v>
      </c>
      <c r="R162" s="28">
        <f t="shared" si="11"/>
        <v>3.4980712270492758</v>
      </c>
      <c r="S162" s="28">
        <f t="shared" si="12"/>
        <v>0.71402725817978385</v>
      </c>
      <c r="T162" s="28">
        <f t="shared" si="13"/>
        <v>2.8733245651583732</v>
      </c>
    </row>
    <row r="163" spans="1:20" x14ac:dyDescent="0.2">
      <c r="A163" s="44">
        <v>41334</v>
      </c>
      <c r="B163" s="1">
        <v>1.7035028329999999</v>
      </c>
      <c r="C163" s="1">
        <v>3</v>
      </c>
      <c r="D163" s="1">
        <v>3.04388489208633</v>
      </c>
      <c r="E163" s="18">
        <f t="shared" si="14"/>
        <v>1.3049116350000001</v>
      </c>
      <c r="F163" s="18">
        <f>AVERAGE($B$4:B162)</f>
        <v>3.1634617953962261</v>
      </c>
      <c r="G163" s="18">
        <f t="shared" si="5"/>
        <v>2.0341774819599996</v>
      </c>
      <c r="H163" s="19">
        <v>3</v>
      </c>
      <c r="I163" s="30">
        <f t="shared" si="0"/>
        <v>-1.2964971670000001</v>
      </c>
      <c r="J163" s="30">
        <f t="shared" si="1"/>
        <v>-1.34038205908633</v>
      </c>
      <c r="K163" s="30">
        <f t="shared" si="2"/>
        <v>0.39859119799999987</v>
      </c>
      <c r="L163" s="30">
        <f t="shared" si="6"/>
        <v>-1.4599589623962261</v>
      </c>
      <c r="M163" s="30">
        <f t="shared" si="3"/>
        <v>-0.33067464895999965</v>
      </c>
      <c r="N163" s="30">
        <f t="shared" si="7"/>
        <v>-1.2964971670000001</v>
      </c>
      <c r="O163" s="28">
        <f t="shared" si="8"/>
        <v>1.680904904039026</v>
      </c>
      <c r="P163" s="28">
        <f t="shared" si="9"/>
        <v>1.7966240643205098</v>
      </c>
      <c r="Q163" s="28">
        <f t="shared" si="10"/>
        <v>0.1588749431230751</v>
      </c>
      <c r="R163" s="28">
        <f t="shared" si="11"/>
        <v>2.1314801718810652</v>
      </c>
      <c r="S163" s="28">
        <f t="shared" si="12"/>
        <v>0.10934572346481899</v>
      </c>
      <c r="T163" s="28">
        <f t="shared" si="13"/>
        <v>1.680904904039026</v>
      </c>
    </row>
    <row r="164" spans="1:20" x14ac:dyDescent="0.2">
      <c r="A164" s="44">
        <v>41365</v>
      </c>
      <c r="B164" s="1">
        <v>1.4727458950000001</v>
      </c>
      <c r="C164" s="1">
        <v>3</v>
      </c>
      <c r="D164" s="1">
        <v>3.0333333333333301</v>
      </c>
      <c r="E164" s="18">
        <f t="shared" si="14"/>
        <v>1.7035028329999999</v>
      </c>
      <c r="F164" s="18">
        <f>AVERAGE($B$4:B163)</f>
        <v>3.1543370518812499</v>
      </c>
      <c r="G164" s="18">
        <f t="shared" si="5"/>
        <v>1.9421243740599994</v>
      </c>
      <c r="H164" s="19">
        <v>3</v>
      </c>
      <c r="I164" s="30">
        <f t="shared" si="0"/>
        <v>-1.5272541049999999</v>
      </c>
      <c r="J164" s="30">
        <f t="shared" si="1"/>
        <v>-1.56058743833333</v>
      </c>
      <c r="K164" s="30">
        <f t="shared" si="2"/>
        <v>-0.23075693799999986</v>
      </c>
      <c r="L164" s="30">
        <f t="shared" si="6"/>
        <v>-1.6815911568812498</v>
      </c>
      <c r="M164" s="30">
        <f t="shared" si="3"/>
        <v>-0.4693784790599993</v>
      </c>
      <c r="N164" s="30">
        <f t="shared" si="7"/>
        <v>-1.5272541049999999</v>
      </c>
      <c r="O164" s="28">
        <f t="shared" si="8"/>
        <v>2.332505101239351</v>
      </c>
      <c r="P164" s="28">
        <f t="shared" si="9"/>
        <v>2.4354331526837854</v>
      </c>
      <c r="Q164" s="28">
        <f t="shared" si="10"/>
        <v>5.3248764435135779E-2</v>
      </c>
      <c r="R164" s="28">
        <f t="shared" si="11"/>
        <v>2.8277488189012203</v>
      </c>
      <c r="S164" s="28">
        <f t="shared" si="12"/>
        <v>0.22031615660467821</v>
      </c>
      <c r="T164" s="28">
        <f t="shared" si="13"/>
        <v>2.332505101239351</v>
      </c>
    </row>
    <row r="165" spans="1:20" x14ac:dyDescent="0.2">
      <c r="A165" s="44">
        <v>41395</v>
      </c>
      <c r="B165" s="1">
        <v>1.3881828919999999</v>
      </c>
      <c r="C165" s="1">
        <v>2.9</v>
      </c>
      <c r="D165" s="1">
        <v>2.9323529411764699</v>
      </c>
      <c r="E165" s="18">
        <f t="shared" si="14"/>
        <v>1.4727458950000001</v>
      </c>
      <c r="F165" s="18">
        <f>AVERAGE($B$4:B164)</f>
        <v>3.1438923863105588</v>
      </c>
      <c r="G165" s="18">
        <f t="shared" si="5"/>
        <v>1.8813028617199998</v>
      </c>
      <c r="H165" s="19">
        <v>3</v>
      </c>
      <c r="I165" s="30">
        <f t="shared" si="0"/>
        <v>-1.511817108</v>
      </c>
      <c r="J165" s="30">
        <f t="shared" si="1"/>
        <v>-1.54417004917647</v>
      </c>
      <c r="K165" s="30">
        <f t="shared" si="2"/>
        <v>-8.4563003000000192E-2</v>
      </c>
      <c r="L165" s="30">
        <f t="shared" si="6"/>
        <v>-1.7557094943105589</v>
      </c>
      <c r="M165" s="30">
        <f t="shared" si="3"/>
        <v>-0.49311996971999994</v>
      </c>
      <c r="N165" s="30">
        <f t="shared" si="7"/>
        <v>-1.6118171080000001</v>
      </c>
      <c r="O165" s="28">
        <f t="shared" si="8"/>
        <v>2.2855909680414839</v>
      </c>
      <c r="P165" s="28">
        <f t="shared" si="9"/>
        <v>2.384461140773662</v>
      </c>
      <c r="Q165" s="28">
        <f t="shared" si="10"/>
        <v>7.1509014763780415E-3</v>
      </c>
      <c r="R165" s="28">
        <f t="shared" si="11"/>
        <v>3.0825158284122383</v>
      </c>
      <c r="S165" s="28">
        <f t="shared" si="12"/>
        <v>0.24316730453665367</v>
      </c>
      <c r="T165" s="28">
        <f t="shared" si="13"/>
        <v>2.5979543896414841</v>
      </c>
    </row>
    <row r="166" spans="1:20" x14ac:dyDescent="0.2">
      <c r="A166" s="44">
        <v>41426</v>
      </c>
      <c r="B166" s="1">
        <v>2.1557052419999998</v>
      </c>
      <c r="C166" s="1">
        <v>2.8</v>
      </c>
      <c r="D166" s="1">
        <v>2.79181286549708</v>
      </c>
      <c r="E166" s="18">
        <f t="shared" si="14"/>
        <v>1.3881828919999999</v>
      </c>
      <c r="F166" s="18">
        <f>AVERAGE($B$4:B165)</f>
        <v>3.1330546733827158</v>
      </c>
      <c r="G166" s="18">
        <f t="shared" si="5"/>
        <v>1.8350896710999995</v>
      </c>
      <c r="H166" s="19">
        <v>3</v>
      </c>
      <c r="I166" s="30">
        <f t="shared" si="0"/>
        <v>-0.64429475800000002</v>
      </c>
      <c r="J166" s="30">
        <f t="shared" si="1"/>
        <v>-0.63610762349708017</v>
      </c>
      <c r="K166" s="30">
        <f t="shared" si="2"/>
        <v>0.76752234999999991</v>
      </c>
      <c r="L166" s="30">
        <f t="shared" si="6"/>
        <v>-0.97734943138271602</v>
      </c>
      <c r="M166" s="30">
        <f t="shared" si="3"/>
        <v>0.32061557090000026</v>
      </c>
      <c r="N166" s="30">
        <f t="shared" si="7"/>
        <v>-0.8442947580000002</v>
      </c>
      <c r="O166" s="28">
        <f t="shared" si="8"/>
        <v>0.41511573518627859</v>
      </c>
      <c r="P166" s="28">
        <f t="shared" si="9"/>
        <v>0.40463290867110308</v>
      </c>
      <c r="Q166" s="28">
        <f t="shared" si="10"/>
        <v>0.58909055774952235</v>
      </c>
      <c r="R166" s="28">
        <f t="shared" si="11"/>
        <v>0.95521191102411829</v>
      </c>
      <c r="S166" s="28">
        <f t="shared" si="12"/>
        <v>0.1027943443035331</v>
      </c>
      <c r="T166" s="28">
        <f t="shared" si="13"/>
        <v>0.71283363838627889</v>
      </c>
    </row>
    <row r="167" spans="1:20" x14ac:dyDescent="0.2">
      <c r="A167" s="44">
        <v>41456</v>
      </c>
      <c r="B167" s="1">
        <v>2.2240832369999999</v>
      </c>
      <c r="C167" s="1">
        <v>2.8</v>
      </c>
      <c r="D167" s="1">
        <v>2.86024096385542</v>
      </c>
      <c r="E167" s="18">
        <f t="shared" si="14"/>
        <v>2.1557052419999998</v>
      </c>
      <c r="F167" s="18">
        <f>AVERAGE($B$4:B166)</f>
        <v>3.1270586646012268</v>
      </c>
      <c r="G167" s="18">
        <f t="shared" si="5"/>
        <v>1.8148406125399998</v>
      </c>
      <c r="H167" s="19">
        <v>3</v>
      </c>
      <c r="I167" s="30">
        <f t="shared" si="0"/>
        <v>-0.57591676299999994</v>
      </c>
      <c r="J167" s="30">
        <f t="shared" si="1"/>
        <v>-0.63615772685542016</v>
      </c>
      <c r="K167" s="30">
        <f t="shared" si="2"/>
        <v>6.837799500000008E-2</v>
      </c>
      <c r="L167" s="30">
        <f t="shared" si="6"/>
        <v>-0.90297542760122695</v>
      </c>
      <c r="M167" s="30">
        <f t="shared" si="3"/>
        <v>0.40924262446000004</v>
      </c>
      <c r="N167" s="30">
        <f t="shared" si="7"/>
        <v>-0.77591676300000012</v>
      </c>
      <c r="O167" s="28">
        <f t="shared" si="8"/>
        <v>0.33168011790439811</v>
      </c>
      <c r="P167" s="28">
        <f t="shared" si="9"/>
        <v>0.40469665343785538</v>
      </c>
      <c r="Q167" s="28">
        <f t="shared" si="10"/>
        <v>4.6755502002200364E-3</v>
      </c>
      <c r="R167" s="28">
        <f t="shared" si="11"/>
        <v>0.8153646228516187</v>
      </c>
      <c r="S167" s="28">
        <f t="shared" si="12"/>
        <v>0.16747952567490862</v>
      </c>
      <c r="T167" s="28">
        <f t="shared" si="13"/>
        <v>0.60204682310439839</v>
      </c>
    </row>
    <row r="168" spans="1:20" x14ac:dyDescent="0.2">
      <c r="A168" s="44">
        <v>41487</v>
      </c>
      <c r="B168" s="1">
        <v>2.2886529530000002</v>
      </c>
      <c r="C168" s="1">
        <v>2.8</v>
      </c>
      <c r="D168" s="1">
        <v>3.01837837837838</v>
      </c>
      <c r="E168" s="18">
        <f t="shared" si="14"/>
        <v>2.2240832369999999</v>
      </c>
      <c r="F168" s="18">
        <f>AVERAGE($B$4:B167)</f>
        <v>3.121552716871951</v>
      </c>
      <c r="G168" s="18">
        <f t="shared" si="5"/>
        <v>1.8238941799400001</v>
      </c>
      <c r="H168" s="19">
        <v>3</v>
      </c>
      <c r="I168" s="30">
        <f t="shared" si="0"/>
        <v>-0.51134704699999967</v>
      </c>
      <c r="J168" s="30">
        <f t="shared" si="1"/>
        <v>-0.72972542537837981</v>
      </c>
      <c r="K168" s="30">
        <f t="shared" si="2"/>
        <v>6.4569716000000277E-2</v>
      </c>
      <c r="L168" s="30">
        <f t="shared" si="6"/>
        <v>-0.83289976387195086</v>
      </c>
      <c r="M168" s="30">
        <f t="shared" si="3"/>
        <v>0.46475877306000002</v>
      </c>
      <c r="N168" s="30">
        <f t="shared" si="7"/>
        <v>-0.71134704699999984</v>
      </c>
      <c r="O168" s="28">
        <f t="shared" si="8"/>
        <v>0.26147580247561986</v>
      </c>
      <c r="P168" s="28">
        <f t="shared" si="9"/>
        <v>0.5324991964436574</v>
      </c>
      <c r="Q168" s="28">
        <f t="shared" si="10"/>
        <v>4.1692482243206918E-3</v>
      </c>
      <c r="R168" s="28">
        <f t="shared" si="11"/>
        <v>0.69372201665795152</v>
      </c>
      <c r="S168" s="28">
        <f t="shared" si="12"/>
        <v>0.21600071713623659</v>
      </c>
      <c r="T168" s="28">
        <f t="shared" si="13"/>
        <v>0.50601462127562002</v>
      </c>
    </row>
    <row r="169" spans="1:20" x14ac:dyDescent="0.2">
      <c r="A169" s="44">
        <v>41518</v>
      </c>
      <c r="B169" s="1">
        <v>2.0040252089999999</v>
      </c>
      <c r="C169" s="1">
        <v>2.9</v>
      </c>
      <c r="D169" s="1">
        <v>3.0132075471698099</v>
      </c>
      <c r="E169" s="18">
        <f t="shared" si="14"/>
        <v>2.2886529530000002</v>
      </c>
      <c r="F169" s="18">
        <f>AVERAGE($B$4:B168)</f>
        <v>3.1165048395151511</v>
      </c>
      <c r="G169" s="18">
        <f t="shared" si="5"/>
        <v>1.85731077</v>
      </c>
      <c r="H169" s="19">
        <v>3</v>
      </c>
      <c r="I169" s="30">
        <f t="shared" si="0"/>
        <v>-0.89597479099999999</v>
      </c>
      <c r="J169" s="30">
        <f t="shared" si="1"/>
        <v>-1.00918233816981</v>
      </c>
      <c r="K169" s="30">
        <f t="shared" si="2"/>
        <v>-0.28462774400000024</v>
      </c>
      <c r="L169" s="30">
        <f t="shared" si="6"/>
        <v>-1.1124796305151512</v>
      </c>
      <c r="M169" s="30">
        <f t="shared" si="3"/>
        <v>0.14671443899999992</v>
      </c>
      <c r="N169" s="30">
        <f t="shared" si="7"/>
        <v>-0.99597479100000008</v>
      </c>
      <c r="O169" s="28">
        <f t="shared" si="8"/>
        <v>0.80277082610749362</v>
      </c>
      <c r="P169" s="28">
        <f t="shared" si="9"/>
        <v>1.0184489916738846</v>
      </c>
      <c r="Q169" s="28">
        <f t="shared" si="10"/>
        <v>8.1012952654529666E-2</v>
      </c>
      <c r="R169" s="28">
        <f t="shared" si="11"/>
        <v>1.2376109283111274</v>
      </c>
      <c r="S169" s="28">
        <f t="shared" si="12"/>
        <v>2.1525126611084699E-2</v>
      </c>
      <c r="T169" s="28">
        <f t="shared" si="13"/>
        <v>0.99196578430749383</v>
      </c>
    </row>
    <row r="170" spans="1:20" x14ac:dyDescent="0.2">
      <c r="A170" s="44">
        <v>41548</v>
      </c>
      <c r="B170" s="1">
        <v>1.7389968170000001</v>
      </c>
      <c r="C170" s="1">
        <v>2.8</v>
      </c>
      <c r="D170" s="1">
        <v>2.9794594594594601</v>
      </c>
      <c r="E170" s="18">
        <f t="shared" si="14"/>
        <v>2.0040252089999999</v>
      </c>
      <c r="F170" s="18">
        <f>AVERAGE($B$4:B169)</f>
        <v>3.1098031549939757</v>
      </c>
      <c r="G170" s="18">
        <f t="shared" si="5"/>
        <v>1.9161078431</v>
      </c>
      <c r="H170" s="19">
        <v>3</v>
      </c>
      <c r="I170" s="30">
        <f t="shared" si="0"/>
        <v>-1.0610031829999997</v>
      </c>
      <c r="J170" s="30">
        <f t="shared" si="1"/>
        <v>-1.24046264245946</v>
      </c>
      <c r="K170" s="30">
        <f t="shared" si="2"/>
        <v>-0.26502839199999983</v>
      </c>
      <c r="L170" s="30">
        <f t="shared" si="6"/>
        <v>-1.3708063379939757</v>
      </c>
      <c r="M170" s="30">
        <f t="shared" si="3"/>
        <v>-0.17711102609999996</v>
      </c>
      <c r="N170" s="30">
        <f t="shared" si="7"/>
        <v>-1.2610031829999999</v>
      </c>
      <c r="O170" s="28">
        <f t="shared" si="8"/>
        <v>1.125727754336131</v>
      </c>
      <c r="P170" s="28">
        <f t="shared" si="9"/>
        <v>1.5387475673375062</v>
      </c>
      <c r="Q170" s="28">
        <f t="shared" si="10"/>
        <v>7.0240048566105578E-2</v>
      </c>
      <c r="R170" s="28">
        <f t="shared" si="11"/>
        <v>1.8791100162844538</v>
      </c>
      <c r="S170" s="28">
        <f t="shared" si="12"/>
        <v>3.136831556619487E-2</v>
      </c>
      <c r="T170" s="28">
        <f t="shared" si="13"/>
        <v>1.5901290275361313</v>
      </c>
    </row>
    <row r="171" spans="1:20" x14ac:dyDescent="0.2">
      <c r="A171" s="44">
        <v>41579</v>
      </c>
      <c r="B171" s="1">
        <v>2.448889962</v>
      </c>
      <c r="C171" s="1">
        <v>2.8</v>
      </c>
      <c r="D171" s="1">
        <v>2.9482142857142901</v>
      </c>
      <c r="E171" s="18">
        <f t="shared" si="14"/>
        <v>1.7389968170000001</v>
      </c>
      <c r="F171" s="18">
        <f>AVERAGE($B$4:B170)</f>
        <v>3.1015947338083834</v>
      </c>
      <c r="G171" s="18">
        <f t="shared" si="5"/>
        <v>1.99694317568</v>
      </c>
      <c r="H171" s="19">
        <v>3</v>
      </c>
      <c r="I171" s="30">
        <f t="shared" si="0"/>
        <v>-0.35111003799999985</v>
      </c>
      <c r="J171" s="30">
        <f t="shared" si="1"/>
        <v>-0.49932432371429014</v>
      </c>
      <c r="K171" s="30">
        <f t="shared" si="2"/>
        <v>0.70989314499999989</v>
      </c>
      <c r="L171" s="30">
        <f t="shared" si="6"/>
        <v>-0.65270477180838338</v>
      </c>
      <c r="M171" s="30">
        <f t="shared" si="3"/>
        <v>0.45194678631999996</v>
      </c>
      <c r="N171" s="30">
        <f t="shared" si="7"/>
        <v>-0.55111003800000002</v>
      </c>
      <c r="O171" s="28">
        <f t="shared" si="8"/>
        <v>0.12327825878436134</v>
      </c>
      <c r="P171" s="28">
        <f t="shared" si="9"/>
        <v>0.24932478025273322</v>
      </c>
      <c r="Q171" s="28">
        <f t="shared" si="10"/>
        <v>0.50394827731799086</v>
      </c>
      <c r="R171" s="28">
        <f t="shared" si="11"/>
        <v>0.42602351914143383</v>
      </c>
      <c r="S171" s="28">
        <f t="shared" si="12"/>
        <v>0.20425589766497571</v>
      </c>
      <c r="T171" s="28">
        <f t="shared" si="13"/>
        <v>0.30372227398436147</v>
      </c>
    </row>
    <row r="172" spans="1:20" x14ac:dyDescent="0.2">
      <c r="A172" s="44">
        <v>41609</v>
      </c>
      <c r="B172" s="1">
        <v>2.8380748059999998</v>
      </c>
      <c r="C172" s="1">
        <v>2.8</v>
      </c>
      <c r="D172" s="1">
        <v>3.03571428571429</v>
      </c>
      <c r="E172" s="18">
        <f t="shared" si="14"/>
        <v>2.448889962</v>
      </c>
      <c r="F172" s="18">
        <f>AVERAGE($B$4:B171)</f>
        <v>3.0977095863571429</v>
      </c>
      <c r="G172" s="18">
        <f t="shared" si="5"/>
        <v>2.0905394758799996</v>
      </c>
      <c r="H172" s="19">
        <v>3</v>
      </c>
      <c r="I172" s="30">
        <f t="shared" si="0"/>
        <v>3.8074806000000017E-2</v>
      </c>
      <c r="J172" s="30">
        <f t="shared" si="1"/>
        <v>-0.19763947971429019</v>
      </c>
      <c r="K172" s="30">
        <f t="shared" si="2"/>
        <v>0.38918484399999986</v>
      </c>
      <c r="L172" s="30">
        <f t="shared" si="6"/>
        <v>-0.25963478035714305</v>
      </c>
      <c r="M172" s="30">
        <f t="shared" si="3"/>
        <v>0.74753533012000029</v>
      </c>
      <c r="N172" s="30">
        <f t="shared" si="7"/>
        <v>-0.16192519400000016</v>
      </c>
      <c r="O172" s="28">
        <f t="shared" si="8"/>
        <v>1.4496908519376372E-3</v>
      </c>
      <c r="P172" s="28">
        <f t="shared" si="9"/>
        <v>3.9061363941735323E-2</v>
      </c>
      <c r="Q172" s="28">
        <f t="shared" si="10"/>
        <v>0.15146484279930422</v>
      </c>
      <c r="R172" s="28">
        <f t="shared" si="11"/>
        <v>6.7410219171101918E-2</v>
      </c>
      <c r="S172" s="28">
        <f t="shared" si="12"/>
        <v>0.5588090697776178</v>
      </c>
      <c r="T172" s="28">
        <f t="shared" si="13"/>
        <v>2.621976845193769E-2</v>
      </c>
    </row>
    <row r="173" spans="1:20" x14ac:dyDescent="0.2">
      <c r="A173" s="44">
        <v>41640</v>
      </c>
      <c r="B173" s="1">
        <v>2.8393503760000001</v>
      </c>
      <c r="C173" s="1">
        <v>2.95</v>
      </c>
      <c r="D173" s="1">
        <v>3.1658227848101301</v>
      </c>
      <c r="E173" s="18">
        <f t="shared" si="14"/>
        <v>2.8380748059999998</v>
      </c>
      <c r="F173" s="18">
        <f>AVERAGE($B$4:B172)</f>
        <v>3.0961732858816569</v>
      </c>
      <c r="G173" s="18">
        <f t="shared" si="5"/>
        <v>2.2091965546999996</v>
      </c>
      <c r="H173" s="19">
        <v>3</v>
      </c>
      <c r="I173" s="30">
        <f t="shared" si="0"/>
        <v>-0.11064962400000011</v>
      </c>
      <c r="J173" s="30">
        <f t="shared" si="1"/>
        <v>-0.32647240881013007</v>
      </c>
      <c r="K173" s="30">
        <f t="shared" si="2"/>
        <v>1.2755700000002257E-3</v>
      </c>
      <c r="L173" s="30">
        <f t="shared" si="6"/>
        <v>-0.25682290988165679</v>
      </c>
      <c r="M173" s="30">
        <f t="shared" si="3"/>
        <v>0.63015382130000042</v>
      </c>
      <c r="N173" s="30">
        <f t="shared" si="7"/>
        <v>-0.16064962399999994</v>
      </c>
      <c r="O173" s="28">
        <f t="shared" si="8"/>
        <v>1.2243339291341401E-2</v>
      </c>
      <c r="P173" s="28">
        <f t="shared" si="9"/>
        <v>0.1065842337142887</v>
      </c>
      <c r="Q173" s="28">
        <f t="shared" si="10"/>
        <v>1.6270788249005757E-6</v>
      </c>
      <c r="R173" s="28">
        <f t="shared" si="11"/>
        <v>6.5958007040081604E-2</v>
      </c>
      <c r="S173" s="28">
        <f t="shared" si="12"/>
        <v>0.39709383849899288</v>
      </c>
      <c r="T173" s="28">
        <f t="shared" si="13"/>
        <v>2.5808301691341354E-2</v>
      </c>
    </row>
    <row r="174" spans="1:20" x14ac:dyDescent="0.2">
      <c r="A174" s="44">
        <v>41671</v>
      </c>
      <c r="B174" s="1">
        <v>3.2174840179999999</v>
      </c>
      <c r="C174" s="1">
        <v>3</v>
      </c>
      <c r="D174" s="1">
        <v>3.2302325581395399</v>
      </c>
      <c r="E174" s="18">
        <f t="shared" si="14"/>
        <v>2.8393503760000001</v>
      </c>
      <c r="F174" s="18">
        <f>AVERAGE($B$4:B173)</f>
        <v>3.0946625628823528</v>
      </c>
      <c r="G174" s="18">
        <f t="shared" si="5"/>
        <v>2.3331827129399998</v>
      </c>
      <c r="H174" s="19">
        <v>3</v>
      </c>
      <c r="I174" s="30">
        <f t="shared" si="0"/>
        <v>0.21748401799999995</v>
      </c>
      <c r="J174" s="30">
        <f t="shared" si="1"/>
        <v>-1.2748540139539966E-2</v>
      </c>
      <c r="K174" s="30">
        <f t="shared" si="2"/>
        <v>0.37813364199999988</v>
      </c>
      <c r="L174" s="30">
        <f t="shared" si="6"/>
        <v>0.12282145511764719</v>
      </c>
      <c r="M174" s="30">
        <f t="shared" si="3"/>
        <v>0.88430130506000015</v>
      </c>
      <c r="N174" s="30">
        <f t="shared" si="7"/>
        <v>0.21748401799999995</v>
      </c>
      <c r="O174" s="28">
        <f t="shared" si="8"/>
        <v>4.7299298085424303E-2</v>
      </c>
      <c r="P174" s="28">
        <f t="shared" si="9"/>
        <v>1.6252527568946169E-4</v>
      </c>
      <c r="Q174" s="28">
        <f t="shared" si="10"/>
        <v>0.14298505121218408</v>
      </c>
      <c r="R174" s="28">
        <f t="shared" si="11"/>
        <v>1.5085109837216224E-2</v>
      </c>
      <c r="S174" s="28">
        <f t="shared" si="12"/>
        <v>0.78198879813081945</v>
      </c>
      <c r="T174" s="28">
        <f t="shared" si="13"/>
        <v>4.7299298085424303E-2</v>
      </c>
    </row>
    <row r="175" spans="1:20" x14ac:dyDescent="0.2">
      <c r="A175" s="44">
        <v>41699</v>
      </c>
      <c r="B175" s="1">
        <v>3.5049060952732001</v>
      </c>
      <c r="C175" s="1">
        <v>3</v>
      </c>
      <c r="D175" s="1">
        <v>3.4167664670658699</v>
      </c>
      <c r="E175" s="18">
        <f t="shared" si="14"/>
        <v>3.2174840179999999</v>
      </c>
      <c r="F175" s="18">
        <f>AVERAGE($B$4:B174)</f>
        <v>3.0953808170058479</v>
      </c>
      <c r="G175" s="18">
        <f t="shared" si="5"/>
        <v>2.4490934661599995</v>
      </c>
      <c r="H175" s="19">
        <v>3</v>
      </c>
      <c r="I175" s="30">
        <f t="shared" si="0"/>
        <v>0.50490609527320007</v>
      </c>
      <c r="J175" s="30">
        <f t="shared" si="1"/>
        <v>8.8139628207330123E-2</v>
      </c>
      <c r="K175" s="30">
        <f t="shared" si="2"/>
        <v>0.28742207727320013</v>
      </c>
      <c r="L175" s="30">
        <f t="shared" si="6"/>
        <v>0.40952527826735219</v>
      </c>
      <c r="M175" s="30">
        <f t="shared" si="3"/>
        <v>1.0558126291132006</v>
      </c>
      <c r="N175" s="30">
        <f t="shared" si="7"/>
        <v>0.50490609527320007</v>
      </c>
      <c r="O175" s="28">
        <f t="shared" si="8"/>
        <v>0.25493016504402977</v>
      </c>
      <c r="P175" s="28">
        <f t="shared" si="9"/>
        <v>7.7685940605263836E-3</v>
      </c>
      <c r="Q175" s="28">
        <f t="shared" si="10"/>
        <v>8.2611450504041423E-2</v>
      </c>
      <c r="R175" s="28">
        <f t="shared" si="11"/>
        <v>0.16771095353995225</v>
      </c>
      <c r="S175" s="28">
        <f t="shared" si="12"/>
        <v>1.1147403077949289</v>
      </c>
      <c r="T175" s="28">
        <f t="shared" si="13"/>
        <v>0.25493016504402977</v>
      </c>
    </row>
    <row r="176" spans="1:20" x14ac:dyDescent="0.2">
      <c r="A176" s="44">
        <v>41730</v>
      </c>
      <c r="B176" s="1">
        <v>4.331577051</v>
      </c>
      <c r="C176" s="1">
        <v>3</v>
      </c>
      <c r="D176" s="1">
        <v>3.5594117647058798</v>
      </c>
      <c r="E176" s="18">
        <f t="shared" si="14"/>
        <v>3.5049060952732001</v>
      </c>
      <c r="F176" s="18">
        <f>AVERAGE($B$4:B175)</f>
        <v>3.0977617779260069</v>
      </c>
      <c r="G176" s="18">
        <f t="shared" si="5"/>
        <v>2.5456033526254633</v>
      </c>
      <c r="H176" s="19">
        <v>3</v>
      </c>
      <c r="I176" s="30">
        <f t="shared" si="0"/>
        <v>1.331577051</v>
      </c>
      <c r="J176" s="30">
        <f t="shared" si="1"/>
        <v>0.77216528629412018</v>
      </c>
      <c r="K176" s="30">
        <f t="shared" si="2"/>
        <v>0.82667095572679994</v>
      </c>
      <c r="L176" s="30">
        <f t="shared" si="6"/>
        <v>1.2338152730739931</v>
      </c>
      <c r="M176" s="30">
        <f t="shared" si="3"/>
        <v>1.7859736983745367</v>
      </c>
      <c r="N176" s="30">
        <f t="shared" si="7"/>
        <v>1.331577051</v>
      </c>
      <c r="O176" s="28">
        <f t="shared" si="8"/>
        <v>1.7730974427498567</v>
      </c>
      <c r="P176" s="28">
        <f t="shared" si="9"/>
        <v>0.59623922935768059</v>
      </c>
      <c r="Q176" s="28">
        <f t="shared" si="10"/>
        <v>0.68338486904226081</v>
      </c>
      <c r="R176" s="28">
        <f t="shared" si="11"/>
        <v>1.5223001280706521</v>
      </c>
      <c r="S176" s="28">
        <f t="shared" si="12"/>
        <v>3.1897020512856207</v>
      </c>
      <c r="T176" s="28">
        <f t="shared" si="13"/>
        <v>1.7730974427498567</v>
      </c>
    </row>
    <row r="177" spans="1:20" x14ac:dyDescent="0.2">
      <c r="A177" s="44">
        <v>41760</v>
      </c>
      <c r="B177" s="1">
        <v>4.7390175570000004</v>
      </c>
      <c r="C177" s="1">
        <v>3.1</v>
      </c>
      <c r="D177" s="1">
        <v>3.8339393939394002</v>
      </c>
      <c r="E177" s="18">
        <f t="shared" si="14"/>
        <v>4.331577051</v>
      </c>
      <c r="F177" s="18">
        <f>AVERAGE($B$4:B176)</f>
        <v>3.1048936581171858</v>
      </c>
      <c r="G177" s="18">
        <f t="shared" si="5"/>
        <v>2.6270614772854635</v>
      </c>
      <c r="H177" s="19">
        <v>3</v>
      </c>
      <c r="I177" s="30">
        <f t="shared" si="0"/>
        <v>1.6390175570000003</v>
      </c>
      <c r="J177" s="30">
        <f t="shared" si="1"/>
        <v>0.90507816306060018</v>
      </c>
      <c r="K177" s="30">
        <f t="shared" si="2"/>
        <v>0.40744050600000037</v>
      </c>
      <c r="L177" s="30">
        <f t="shared" si="6"/>
        <v>1.6341238988828146</v>
      </c>
      <c r="M177" s="30">
        <f t="shared" si="3"/>
        <v>2.1119560797145369</v>
      </c>
      <c r="N177" s="30">
        <f t="shared" si="7"/>
        <v>1.7390175570000004</v>
      </c>
      <c r="O177" s="28">
        <f t="shared" si="8"/>
        <v>2.6863785521542494</v>
      </c>
      <c r="P177" s="28">
        <f t="shared" si="9"/>
        <v>0.81916648124915037</v>
      </c>
      <c r="Q177" s="28">
        <f t="shared" si="10"/>
        <v>0.16600776592953634</v>
      </c>
      <c r="R177" s="28">
        <f t="shared" si="11"/>
        <v>2.6703609168999711</v>
      </c>
      <c r="S177" s="28">
        <f t="shared" si="12"/>
        <v>4.460358482643195</v>
      </c>
      <c r="T177" s="28">
        <f t="shared" si="13"/>
        <v>3.0241820635542496</v>
      </c>
    </row>
    <row r="178" spans="1:20" x14ac:dyDescent="0.2">
      <c r="A178" s="44">
        <v>41791</v>
      </c>
      <c r="B178" s="1">
        <v>4.314826847</v>
      </c>
      <c r="C178" s="1">
        <v>3</v>
      </c>
      <c r="D178" s="1">
        <v>3.8109090909090901</v>
      </c>
      <c r="E178" s="18">
        <f t="shared" si="14"/>
        <v>4.7390175570000004</v>
      </c>
      <c r="F178" s="18">
        <f>AVERAGE($B$4:B177)</f>
        <v>3.1142851747774323</v>
      </c>
      <c r="G178" s="18">
        <f t="shared" si="5"/>
        <v>2.7157724605854634</v>
      </c>
      <c r="H178" s="19">
        <v>3</v>
      </c>
      <c r="I178" s="30">
        <f t="shared" si="0"/>
        <v>1.314826847</v>
      </c>
      <c r="J178" s="30">
        <f t="shared" si="1"/>
        <v>0.50391775609090983</v>
      </c>
      <c r="K178" s="30">
        <f t="shared" si="2"/>
        <v>-0.42419071000000041</v>
      </c>
      <c r="L178" s="30">
        <f t="shared" si="6"/>
        <v>1.2005416722225677</v>
      </c>
      <c r="M178" s="30">
        <f t="shared" si="3"/>
        <v>1.5990543864145366</v>
      </c>
      <c r="N178" s="30">
        <f t="shared" si="7"/>
        <v>1.314826847</v>
      </c>
      <c r="O178" s="28">
        <f t="shared" si="8"/>
        <v>1.7287696375919612</v>
      </c>
      <c r="P178" s="28">
        <f t="shared" si="9"/>
        <v>0.25393310490369769</v>
      </c>
      <c r="Q178" s="28">
        <f t="shared" si="10"/>
        <v>0.17993775845030446</v>
      </c>
      <c r="R178" s="28">
        <f t="shared" si="11"/>
        <v>1.4413003067429591</v>
      </c>
      <c r="S178" s="28">
        <f t="shared" si="12"/>
        <v>2.5569749307115699</v>
      </c>
      <c r="T178" s="28">
        <f t="shared" si="13"/>
        <v>1.7287696375919612</v>
      </c>
    </row>
    <row r="179" spans="1:20" x14ac:dyDescent="0.2">
      <c r="A179" s="44">
        <v>41821</v>
      </c>
      <c r="B179" s="1">
        <v>4.5008999919999999</v>
      </c>
      <c r="C179" s="1">
        <v>3</v>
      </c>
      <c r="D179" s="1">
        <v>3.7518750000000001</v>
      </c>
      <c r="E179" s="18">
        <f t="shared" si="14"/>
        <v>4.314826847</v>
      </c>
      <c r="F179" s="18">
        <f>AVERAGE($B$4:B178)</f>
        <v>3.121145412904418</v>
      </c>
      <c r="G179" s="18">
        <f t="shared" si="5"/>
        <v>2.7836181386854637</v>
      </c>
      <c r="H179" s="19">
        <v>3</v>
      </c>
      <c r="I179" s="30">
        <f t="shared" si="0"/>
        <v>1.5008999919999999</v>
      </c>
      <c r="J179" s="30">
        <f t="shared" si="1"/>
        <v>0.74902499199999983</v>
      </c>
      <c r="K179" s="30">
        <f t="shared" si="2"/>
        <v>0.18607314499999994</v>
      </c>
      <c r="L179" s="30">
        <f t="shared" si="6"/>
        <v>1.3797545790955819</v>
      </c>
      <c r="M179" s="30">
        <f t="shared" si="3"/>
        <v>1.7172818533145362</v>
      </c>
      <c r="N179" s="30">
        <f t="shared" si="7"/>
        <v>1.5008999919999999</v>
      </c>
      <c r="O179" s="28">
        <f t="shared" si="8"/>
        <v>2.2527007859855996</v>
      </c>
      <c r="P179" s="28">
        <f t="shared" si="9"/>
        <v>0.56103843864059977</v>
      </c>
      <c r="Q179" s="28">
        <f t="shared" si="10"/>
        <v>3.4623215290191002E-2</v>
      </c>
      <c r="R179" s="28">
        <f t="shared" si="11"/>
        <v>1.9037226985352262</v>
      </c>
      <c r="S179" s="28">
        <f t="shared" si="12"/>
        <v>2.9490569637234083</v>
      </c>
      <c r="T179" s="28">
        <f t="shared" si="13"/>
        <v>2.2527007859855996</v>
      </c>
    </row>
    <row r="180" spans="1:20" x14ac:dyDescent="0.2">
      <c r="A180" s="44">
        <v>41852</v>
      </c>
      <c r="B180" s="1">
        <v>4.5428083800000003</v>
      </c>
      <c r="C180" s="1">
        <v>3</v>
      </c>
      <c r="D180" s="1">
        <v>3.6614906832298102</v>
      </c>
      <c r="E180" s="18">
        <f t="shared" si="14"/>
        <v>4.5008999919999999</v>
      </c>
      <c r="F180" s="18">
        <f>AVERAGE($B$4:B179)</f>
        <v>3.1289849275583701</v>
      </c>
      <c r="G180" s="18">
        <f t="shared" si="5"/>
        <v>2.8435753718654637</v>
      </c>
      <c r="H180" s="19">
        <v>3</v>
      </c>
      <c r="I180" s="30">
        <f t="shared" ref="I180:I211" si="15">B180-C180</f>
        <v>1.5428083800000003</v>
      </c>
      <c r="J180" s="30">
        <f t="shared" ref="J180:J211" si="16">B180-D180</f>
        <v>0.88131769677019012</v>
      </c>
      <c r="K180" s="30">
        <f t="shared" ref="K180:K211" si="17">B180-E180</f>
        <v>4.1908388000000407E-2</v>
      </c>
      <c r="L180" s="30">
        <f t="shared" ref="L180:L211" si="18">B180-F180</f>
        <v>1.4138234524416302</v>
      </c>
      <c r="M180" s="30">
        <f t="shared" ref="M180:M211" si="19">B180-G180</f>
        <v>1.6992330081345366</v>
      </c>
      <c r="N180" s="30">
        <f t="shared" si="7"/>
        <v>1.5428083800000003</v>
      </c>
      <c r="O180" s="28">
        <f t="shared" si="8"/>
        <v>2.3802576973982252</v>
      </c>
      <c r="P180" s="28">
        <f t="shared" si="9"/>
        <v>0.7767208826403128</v>
      </c>
      <c r="Q180" s="28">
        <f t="shared" si="10"/>
        <v>1.7563129847585782E-3</v>
      </c>
      <c r="R180" s="28">
        <f t="shared" si="11"/>
        <v>1.9988967546739707</v>
      </c>
      <c r="S180" s="28">
        <f t="shared" si="12"/>
        <v>2.8873928159339459</v>
      </c>
      <c r="T180" s="28">
        <f t="shared" si="13"/>
        <v>2.3802576973982252</v>
      </c>
    </row>
    <row r="181" spans="1:20" x14ac:dyDescent="0.2">
      <c r="A181" s="44">
        <v>41883</v>
      </c>
      <c r="B181" s="1">
        <v>4.905575228</v>
      </c>
      <c r="C181" s="1">
        <v>3.2</v>
      </c>
      <c r="D181" s="1">
        <v>3.83051948051948</v>
      </c>
      <c r="E181" s="18">
        <f t="shared" si="14"/>
        <v>4.5428083800000003</v>
      </c>
      <c r="F181" s="18">
        <f>AVERAGE($B$4:B180)</f>
        <v>3.1369726306795092</v>
      </c>
      <c r="G181" s="18">
        <f t="shared" si="5"/>
        <v>2.9111527308254637</v>
      </c>
      <c r="H181" s="19">
        <v>3</v>
      </c>
      <c r="I181" s="30">
        <f t="shared" si="15"/>
        <v>1.7055752279999998</v>
      </c>
      <c r="J181" s="30">
        <f t="shared" si="16"/>
        <v>1.07505574748052</v>
      </c>
      <c r="K181" s="30">
        <f t="shared" si="17"/>
        <v>0.3627668479999997</v>
      </c>
      <c r="L181" s="30">
        <f t="shared" si="18"/>
        <v>1.7686025973204909</v>
      </c>
      <c r="M181" s="30">
        <f t="shared" si="19"/>
        <v>1.9944224971745363</v>
      </c>
      <c r="N181" s="30">
        <f t="shared" si="7"/>
        <v>1.905575228</v>
      </c>
      <c r="O181" s="28">
        <f t="shared" si="8"/>
        <v>2.9089868583672516</v>
      </c>
      <c r="P181" s="28">
        <f t="shared" si="9"/>
        <v>1.1557448601908997</v>
      </c>
      <c r="Q181" s="28">
        <f t="shared" si="10"/>
        <v>0.13159978600785488</v>
      </c>
      <c r="R181" s="28">
        <f t="shared" si="11"/>
        <v>3.1279551472487865</v>
      </c>
      <c r="S181" s="28">
        <f t="shared" si="12"/>
        <v>3.9777210972359134</v>
      </c>
      <c r="T181" s="28">
        <f t="shared" si="13"/>
        <v>3.6312169495672522</v>
      </c>
    </row>
    <row r="182" spans="1:20" x14ac:dyDescent="0.2">
      <c r="A182" s="44">
        <v>41913</v>
      </c>
      <c r="B182" s="1">
        <v>5.6832686030000001</v>
      </c>
      <c r="C182" s="1">
        <v>3.3</v>
      </c>
      <c r="D182" s="1">
        <v>4.0458598726114703</v>
      </c>
      <c r="E182" s="18">
        <f t="shared" si="14"/>
        <v>4.905575228</v>
      </c>
      <c r="F182" s="18">
        <f>AVERAGE($B$4:B181)</f>
        <v>3.146908600327377</v>
      </c>
      <c r="G182" s="18">
        <f t="shared" si="5"/>
        <v>2.9642183102254638</v>
      </c>
      <c r="H182" s="19">
        <v>3</v>
      </c>
      <c r="I182" s="30">
        <f t="shared" si="15"/>
        <v>2.3832686030000003</v>
      </c>
      <c r="J182" s="30">
        <f t="shared" si="16"/>
        <v>1.6374087303885299</v>
      </c>
      <c r="K182" s="30">
        <f t="shared" si="17"/>
        <v>0.77769337500000013</v>
      </c>
      <c r="L182" s="30">
        <f t="shared" si="18"/>
        <v>2.5363600026726232</v>
      </c>
      <c r="M182" s="30">
        <f t="shared" si="19"/>
        <v>2.7190502927745364</v>
      </c>
      <c r="N182" s="30">
        <f t="shared" si="7"/>
        <v>2.6832686030000001</v>
      </c>
      <c r="O182" s="28">
        <f t="shared" si="8"/>
        <v>5.679969234045573</v>
      </c>
      <c r="P182" s="28">
        <f t="shared" si="9"/>
        <v>2.6811073503525771</v>
      </c>
      <c r="Q182" s="28">
        <f t="shared" si="10"/>
        <v>0.60480698551889078</v>
      </c>
      <c r="R182" s="28">
        <f t="shared" si="11"/>
        <v>6.4331220631574695</v>
      </c>
      <c r="S182" s="28">
        <f t="shared" si="12"/>
        <v>7.3932344946372917</v>
      </c>
      <c r="T182" s="28">
        <f t="shared" si="13"/>
        <v>7.1999303958455725</v>
      </c>
    </row>
    <row r="183" spans="1:20" x14ac:dyDescent="0.2">
      <c r="A183" s="44">
        <v>41944</v>
      </c>
      <c r="B183" s="1">
        <v>5.451905161</v>
      </c>
      <c r="C183" s="1">
        <v>3.1</v>
      </c>
      <c r="D183" s="1">
        <v>4.1419354838709701</v>
      </c>
      <c r="E183" s="18">
        <f t="shared" si="14"/>
        <v>5.6832686030000001</v>
      </c>
      <c r="F183" s="18">
        <f>AVERAGE($B$4:B182)</f>
        <v>3.1610782092808551</v>
      </c>
      <c r="G183" s="18">
        <f t="shared" si="5"/>
        <v>3.025398614465463</v>
      </c>
      <c r="H183" s="19">
        <v>3</v>
      </c>
      <c r="I183" s="30">
        <f t="shared" si="15"/>
        <v>2.3519051609999999</v>
      </c>
      <c r="J183" s="30">
        <f t="shared" si="16"/>
        <v>1.3099696771290299</v>
      </c>
      <c r="K183" s="30">
        <f t="shared" si="17"/>
        <v>-0.23136344200000014</v>
      </c>
      <c r="L183" s="30">
        <f t="shared" si="18"/>
        <v>2.2908269517191449</v>
      </c>
      <c r="M183" s="30">
        <f t="shared" si="19"/>
        <v>2.426506546534537</v>
      </c>
      <c r="N183" s="30">
        <f t="shared" si="7"/>
        <v>2.451905161</v>
      </c>
      <c r="O183" s="28">
        <f t="shared" si="8"/>
        <v>5.5314578863384352</v>
      </c>
      <c r="P183" s="28">
        <f t="shared" si="9"/>
        <v>1.7160205549975349</v>
      </c>
      <c r="Q183" s="28">
        <f t="shared" si="10"/>
        <v>5.3529042294087427E-2</v>
      </c>
      <c r="R183" s="28">
        <f t="shared" si="11"/>
        <v>5.2478881227228289</v>
      </c>
      <c r="S183" s="28">
        <f t="shared" si="12"/>
        <v>5.8879340203749653</v>
      </c>
      <c r="T183" s="28">
        <f t="shared" si="13"/>
        <v>6.0118389185384355</v>
      </c>
    </row>
    <row r="184" spans="1:20" x14ac:dyDescent="0.2">
      <c r="A184" s="44">
        <v>41974</v>
      </c>
      <c r="B184" s="1">
        <v>4.6463810380000004</v>
      </c>
      <c r="C184" s="1">
        <v>2.7</v>
      </c>
      <c r="D184" s="1">
        <v>4.0298701298701296</v>
      </c>
      <c r="E184" s="18">
        <f t="shared" si="14"/>
        <v>5.451905161</v>
      </c>
      <c r="F184" s="18">
        <f>AVERAGE($B$4:B183)</f>
        <v>3.1738050256792949</v>
      </c>
      <c r="G184" s="18">
        <f t="shared" si="5"/>
        <v>3.0969086125454637</v>
      </c>
      <c r="H184" s="19">
        <v>3</v>
      </c>
      <c r="I184" s="30">
        <f t="shared" si="15"/>
        <v>1.9463810380000002</v>
      </c>
      <c r="J184" s="30">
        <f t="shared" si="16"/>
        <v>0.61651090812987075</v>
      </c>
      <c r="K184" s="30">
        <f t="shared" si="17"/>
        <v>-0.80552412299999965</v>
      </c>
      <c r="L184" s="30">
        <f t="shared" si="18"/>
        <v>1.4725760123207055</v>
      </c>
      <c r="M184" s="30">
        <f t="shared" si="19"/>
        <v>1.5494724254545367</v>
      </c>
      <c r="N184" s="30">
        <f t="shared" si="7"/>
        <v>1.6463810380000004</v>
      </c>
      <c r="O184" s="28">
        <f t="shared" si="8"/>
        <v>3.788399145085958</v>
      </c>
      <c r="P184" s="28">
        <f t="shared" si="9"/>
        <v>0.38008569984311791</v>
      </c>
      <c r="Q184" s="28">
        <f t="shared" si="10"/>
        <v>0.64886911273491854</v>
      </c>
      <c r="R184" s="28">
        <f t="shared" si="11"/>
        <v>2.1684801120623503</v>
      </c>
      <c r="S184" s="28">
        <f t="shared" si="12"/>
        <v>2.4008647972439645</v>
      </c>
      <c r="T184" s="28">
        <f t="shared" si="13"/>
        <v>2.7105705222859586</v>
      </c>
    </row>
    <row r="185" spans="1:20" x14ac:dyDescent="0.2">
      <c r="A185" s="44">
        <v>42005</v>
      </c>
      <c r="B185" s="1">
        <v>4.5402757539999996</v>
      </c>
      <c r="C185" s="1">
        <v>2.7</v>
      </c>
      <c r="D185" s="1">
        <v>3.6931250000000002</v>
      </c>
      <c r="E185" s="18">
        <f t="shared" si="14"/>
        <v>4.6463810380000004</v>
      </c>
      <c r="F185" s="18">
        <f>AVERAGE($B$4:B184)</f>
        <v>3.1819408047528897</v>
      </c>
      <c r="G185" s="18">
        <f t="shared" si="5"/>
        <v>3.1501568526454635</v>
      </c>
      <c r="H185" s="19">
        <v>3</v>
      </c>
      <c r="I185" s="30">
        <f t="shared" si="15"/>
        <v>1.8402757539999994</v>
      </c>
      <c r="J185" s="30">
        <f t="shared" si="16"/>
        <v>0.8471507539999994</v>
      </c>
      <c r="K185" s="30">
        <f t="shared" si="17"/>
        <v>-0.10610528400000074</v>
      </c>
      <c r="L185" s="30">
        <f t="shared" si="18"/>
        <v>1.35833494924711</v>
      </c>
      <c r="M185" s="30">
        <f t="shared" si="19"/>
        <v>1.3901189013545361</v>
      </c>
      <c r="N185" s="30">
        <f t="shared" si="7"/>
        <v>1.5402757539999996</v>
      </c>
      <c r="O185" s="28">
        <f t="shared" si="8"/>
        <v>3.3866148507602665</v>
      </c>
      <c r="P185" s="28">
        <f t="shared" si="9"/>
        <v>0.71766440000276754</v>
      </c>
      <c r="Q185" s="28">
        <f t="shared" si="10"/>
        <v>1.1258331292720814E-2</v>
      </c>
      <c r="R185" s="28">
        <f t="shared" si="11"/>
        <v>1.8450738343461488</v>
      </c>
      <c r="S185" s="28">
        <f t="shared" si="12"/>
        <v>1.9324305599031424</v>
      </c>
      <c r="T185" s="28">
        <f t="shared" si="13"/>
        <v>2.3724493983602675</v>
      </c>
    </row>
    <row r="186" spans="1:20" x14ac:dyDescent="0.2">
      <c r="A186" s="44">
        <v>42036</v>
      </c>
      <c r="B186" s="1">
        <v>4.3999237579999999</v>
      </c>
      <c r="C186" s="1">
        <v>3</v>
      </c>
      <c r="D186" s="1">
        <v>3.6443661971830998</v>
      </c>
      <c r="E186" s="18">
        <f t="shared" si="14"/>
        <v>4.5402757539999996</v>
      </c>
      <c r="F186" s="18">
        <f>AVERAGE($B$4:B185)</f>
        <v>3.189404183594907</v>
      </c>
      <c r="G186" s="18">
        <f t="shared" si="5"/>
        <v>3.1917355800054632</v>
      </c>
      <c r="H186" s="19">
        <v>3</v>
      </c>
      <c r="I186" s="30">
        <f t="shared" si="15"/>
        <v>1.3999237579999999</v>
      </c>
      <c r="J186" s="30">
        <f t="shared" si="16"/>
        <v>0.75555756081690006</v>
      </c>
      <c r="K186" s="30">
        <f t="shared" si="17"/>
        <v>-0.1403519959999997</v>
      </c>
      <c r="L186" s="30">
        <f t="shared" si="18"/>
        <v>1.2105195744050929</v>
      </c>
      <c r="M186" s="30">
        <f t="shared" si="19"/>
        <v>1.2081881779945367</v>
      </c>
      <c r="N186" s="30">
        <f t="shared" si="7"/>
        <v>1.3999237579999999</v>
      </c>
      <c r="O186" s="28">
        <f t="shared" si="8"/>
        <v>1.9597865282128424</v>
      </c>
      <c r="P186" s="28">
        <f t="shared" si="9"/>
        <v>0.57086722770758369</v>
      </c>
      <c r="Q186" s="28">
        <f t="shared" si="10"/>
        <v>1.9698682781183932E-2</v>
      </c>
      <c r="R186" s="28">
        <f t="shared" si="11"/>
        <v>1.4653576400178874</v>
      </c>
      <c r="S186" s="28">
        <f t="shared" si="12"/>
        <v>1.4597186734457583</v>
      </c>
      <c r="T186" s="28">
        <f t="shared" si="13"/>
        <v>1.9597865282128424</v>
      </c>
    </row>
    <row r="187" spans="1:20" x14ac:dyDescent="0.2">
      <c r="A187" s="44">
        <v>42064</v>
      </c>
      <c r="B187" s="1">
        <v>4.1840449919999996</v>
      </c>
      <c r="C187" s="1">
        <v>3</v>
      </c>
      <c r="D187" s="1">
        <v>3.6319727891156499</v>
      </c>
      <c r="E187" s="18">
        <f t="shared" si="14"/>
        <v>4.3999237579999999</v>
      </c>
      <c r="F187" s="18">
        <f>AVERAGE($B$4:B186)</f>
        <v>3.1960190446572301</v>
      </c>
      <c r="G187" s="18">
        <f t="shared" si="5"/>
        <v>3.2202766929454634</v>
      </c>
      <c r="H187" s="19">
        <v>3</v>
      </c>
      <c r="I187" s="30">
        <f t="shared" si="15"/>
        <v>1.1840449919999996</v>
      </c>
      <c r="J187" s="30">
        <f t="shared" si="16"/>
        <v>0.55207220288434966</v>
      </c>
      <c r="K187" s="30">
        <f t="shared" si="17"/>
        <v>-0.21587876600000033</v>
      </c>
      <c r="L187" s="30">
        <f t="shared" si="18"/>
        <v>0.98802594734276949</v>
      </c>
      <c r="M187" s="30">
        <f t="shared" si="19"/>
        <v>0.9637682990545362</v>
      </c>
      <c r="N187" s="30">
        <f t="shared" si="7"/>
        <v>1.1840449919999996</v>
      </c>
      <c r="O187" s="28">
        <f t="shared" si="8"/>
        <v>1.4019625430802791</v>
      </c>
      <c r="P187" s="28">
        <f t="shared" si="9"/>
        <v>0.30478371719757852</v>
      </c>
      <c r="Q187" s="28">
        <f t="shared" si="10"/>
        <v>4.6603641609682903E-2</v>
      </c>
      <c r="R187" s="28">
        <f t="shared" si="11"/>
        <v>0.9761952726225771</v>
      </c>
      <c r="S187" s="28">
        <f t="shared" si="12"/>
        <v>0.92884933426247396</v>
      </c>
      <c r="T187" s="28">
        <f t="shared" si="13"/>
        <v>1.4019625430802791</v>
      </c>
    </row>
    <row r="188" spans="1:20" x14ac:dyDescent="0.2">
      <c r="A188" s="44">
        <v>42095</v>
      </c>
      <c r="B188" s="1">
        <v>4.1362888599999996</v>
      </c>
      <c r="C188" s="1">
        <v>3.2</v>
      </c>
      <c r="D188" s="1">
        <v>3.8952702702702702</v>
      </c>
      <c r="E188" s="18">
        <f t="shared" si="14"/>
        <v>4.1840449919999996</v>
      </c>
      <c r="F188" s="18">
        <f>AVERAGE($B$4:B187)</f>
        <v>3.201388750892789</v>
      </c>
      <c r="G188" s="18">
        <f t="shared" si="5"/>
        <v>3.2495722405854632</v>
      </c>
      <c r="H188" s="19">
        <v>3</v>
      </c>
      <c r="I188" s="30">
        <f t="shared" si="15"/>
        <v>0.93628885999999945</v>
      </c>
      <c r="J188" s="30">
        <f t="shared" si="16"/>
        <v>0.24101858972972945</v>
      </c>
      <c r="K188" s="30">
        <f t="shared" si="17"/>
        <v>-4.7756131999999951E-2</v>
      </c>
      <c r="L188" s="30">
        <f t="shared" si="18"/>
        <v>0.93490010910721066</v>
      </c>
      <c r="M188" s="30">
        <f t="shared" si="19"/>
        <v>0.88671661941453639</v>
      </c>
      <c r="N188" s="30">
        <f t="shared" si="7"/>
        <v>1.1362888599999996</v>
      </c>
      <c r="O188" s="28">
        <f t="shared" si="8"/>
        <v>0.87663682936009857</v>
      </c>
      <c r="P188" s="28">
        <f t="shared" si="9"/>
        <v>5.8089960595307646E-2</v>
      </c>
      <c r="Q188" s="28">
        <f t="shared" si="10"/>
        <v>2.2806481436014195E-3</v>
      </c>
      <c r="R188" s="28">
        <f t="shared" si="11"/>
        <v>0.87403821400867443</v>
      </c>
      <c r="S188" s="28">
        <f t="shared" si="12"/>
        <v>0.78626636314594378</v>
      </c>
      <c r="T188" s="28">
        <f t="shared" si="13"/>
        <v>1.2911523733600987</v>
      </c>
    </row>
    <row r="189" spans="1:20" x14ac:dyDescent="0.2">
      <c r="A189" s="44">
        <v>42125</v>
      </c>
      <c r="B189" s="1">
        <v>3.9692351779999999</v>
      </c>
      <c r="C189" s="1">
        <v>3.1</v>
      </c>
      <c r="D189" s="1">
        <v>3.8374149659864001</v>
      </c>
      <c r="E189" s="18">
        <f t="shared" si="14"/>
        <v>4.1362888599999996</v>
      </c>
      <c r="F189" s="18">
        <f>AVERAGE($B$4:B188)</f>
        <v>3.2064422649960713</v>
      </c>
      <c r="G189" s="18">
        <f t="shared" si="5"/>
        <v>3.2789556166454634</v>
      </c>
      <c r="H189" s="19">
        <v>3</v>
      </c>
      <c r="I189" s="30">
        <f t="shared" si="15"/>
        <v>0.86923517799999983</v>
      </c>
      <c r="J189" s="30">
        <f t="shared" si="16"/>
        <v>0.13182021201359984</v>
      </c>
      <c r="K189" s="30">
        <f t="shared" si="17"/>
        <v>-0.1670536819999997</v>
      </c>
      <c r="L189" s="30">
        <f t="shared" si="18"/>
        <v>0.7627929130039286</v>
      </c>
      <c r="M189" s="30">
        <f t="shared" si="19"/>
        <v>0.6902795613545365</v>
      </c>
      <c r="N189" s="30">
        <f t="shared" si="7"/>
        <v>0.96923517799999992</v>
      </c>
      <c r="O189" s="28">
        <f t="shared" si="8"/>
        <v>0.75556979467269136</v>
      </c>
      <c r="P189" s="28">
        <f t="shared" si="9"/>
        <v>1.737656829531041E-2</v>
      </c>
      <c r="Q189" s="28">
        <f t="shared" si="10"/>
        <v>2.7906932669757026E-2</v>
      </c>
      <c r="R189" s="28">
        <f t="shared" si="11"/>
        <v>0.58185302812901896</v>
      </c>
      <c r="S189" s="28">
        <f t="shared" si="12"/>
        <v>0.47648587282381133</v>
      </c>
      <c r="T189" s="28">
        <f t="shared" si="13"/>
        <v>0.93941683027269152</v>
      </c>
    </row>
    <row r="190" spans="1:20" x14ac:dyDescent="0.2">
      <c r="A190" s="44">
        <v>42156</v>
      </c>
      <c r="B190" s="1">
        <v>4.4188928719999998</v>
      </c>
      <c r="C190" s="1">
        <v>3</v>
      </c>
      <c r="D190" s="1">
        <v>3.8013245033112599</v>
      </c>
      <c r="E190" s="18">
        <f t="shared" si="14"/>
        <v>3.9692351779999999</v>
      </c>
      <c r="F190" s="18">
        <f>AVERAGE($B$4:B189)</f>
        <v>3.2105433021627587</v>
      </c>
      <c r="G190" s="18">
        <f t="shared" si="5"/>
        <v>3.2910344696854632</v>
      </c>
      <c r="H190" s="19">
        <v>3</v>
      </c>
      <c r="I190" s="30">
        <f t="shared" si="15"/>
        <v>1.4188928719999998</v>
      </c>
      <c r="J190" s="30">
        <f t="shared" si="16"/>
        <v>0.61756836868873988</v>
      </c>
      <c r="K190" s="30">
        <f t="shared" si="17"/>
        <v>0.44965769399999989</v>
      </c>
      <c r="L190" s="30">
        <f t="shared" si="18"/>
        <v>1.2083495698372411</v>
      </c>
      <c r="M190" s="30">
        <f t="shared" si="19"/>
        <v>1.1278584023145366</v>
      </c>
      <c r="N190" s="30">
        <f t="shared" si="7"/>
        <v>1.4188928719999998</v>
      </c>
      <c r="O190" s="28">
        <f t="shared" si="8"/>
        <v>2.013256982212408</v>
      </c>
      <c r="P190" s="28">
        <f t="shared" si="9"/>
        <v>0.38139069000487136</v>
      </c>
      <c r="Q190" s="28">
        <f t="shared" si="10"/>
        <v>0.20219204177339753</v>
      </c>
      <c r="R190" s="28">
        <f t="shared" si="11"/>
        <v>1.4601086829258456</v>
      </c>
      <c r="S190" s="28">
        <f t="shared" si="12"/>
        <v>1.272064575671499</v>
      </c>
      <c r="T190" s="28">
        <f t="shared" si="13"/>
        <v>2.013256982212408</v>
      </c>
    </row>
    <row r="191" spans="1:20" x14ac:dyDescent="0.2">
      <c r="A191" s="44">
        <v>42186</v>
      </c>
      <c r="B191" s="1">
        <v>4.6173670170000003</v>
      </c>
      <c r="C191" s="1">
        <v>3.2</v>
      </c>
      <c r="D191" s="1">
        <v>3.9352201257861599</v>
      </c>
      <c r="E191" s="18">
        <f t="shared" si="14"/>
        <v>4.4188928719999998</v>
      </c>
      <c r="F191" s="18">
        <f>AVERAGE($B$4:B190)</f>
        <v>3.2170050645683057</v>
      </c>
      <c r="G191" s="18">
        <f t="shared" si="5"/>
        <v>3.3150541152654629</v>
      </c>
      <c r="H191" s="19">
        <v>3</v>
      </c>
      <c r="I191" s="30">
        <f t="shared" si="15"/>
        <v>1.4173670170000001</v>
      </c>
      <c r="J191" s="30">
        <f t="shared" si="16"/>
        <v>0.68214689121384042</v>
      </c>
      <c r="K191" s="30">
        <f t="shared" si="17"/>
        <v>0.19847414500000049</v>
      </c>
      <c r="L191" s="30">
        <f t="shared" si="18"/>
        <v>1.4003619524316946</v>
      </c>
      <c r="M191" s="30">
        <f t="shared" si="19"/>
        <v>1.3023129017345374</v>
      </c>
      <c r="N191" s="30">
        <f t="shared" si="7"/>
        <v>1.6173670170000003</v>
      </c>
      <c r="O191" s="28">
        <f t="shared" si="8"/>
        <v>2.0089292608794787</v>
      </c>
      <c r="P191" s="28">
        <f t="shared" si="9"/>
        <v>0.46532438119270703</v>
      </c>
      <c r="Q191" s="28">
        <f t="shared" si="10"/>
        <v>3.9391986233481217E-2</v>
      </c>
      <c r="R191" s="28">
        <f t="shared" si="11"/>
        <v>1.9610135978183076</v>
      </c>
      <c r="S191" s="28">
        <f t="shared" si="12"/>
        <v>1.6960188940242309</v>
      </c>
      <c r="T191" s="28">
        <f t="shared" si="13"/>
        <v>2.6158760676794794</v>
      </c>
    </row>
    <row r="192" spans="1:20" x14ac:dyDescent="0.2">
      <c r="A192" s="44">
        <v>42217</v>
      </c>
      <c r="B192" s="1">
        <v>4.9833540349999996</v>
      </c>
      <c r="C192" s="1">
        <v>3.5</v>
      </c>
      <c r="D192" s="1">
        <v>4.2266666666666701</v>
      </c>
      <c r="E192" s="18">
        <f t="shared" si="14"/>
        <v>4.6173670170000003</v>
      </c>
      <c r="F192" s="18">
        <f>AVERAGE($B$4:B191)</f>
        <v>3.2244537983578359</v>
      </c>
      <c r="G192" s="18">
        <f t="shared" si="5"/>
        <v>3.3422202116054631</v>
      </c>
      <c r="H192" s="19">
        <v>3</v>
      </c>
      <c r="I192" s="30">
        <f t="shared" si="15"/>
        <v>1.4833540349999996</v>
      </c>
      <c r="J192" s="30">
        <f t="shared" si="16"/>
        <v>0.7566873683333295</v>
      </c>
      <c r="K192" s="30">
        <f t="shared" si="17"/>
        <v>0.36598701799999933</v>
      </c>
      <c r="L192" s="30">
        <f t="shared" si="18"/>
        <v>1.7589002366421638</v>
      </c>
      <c r="M192" s="30">
        <f t="shared" si="19"/>
        <v>1.6411338233945365</v>
      </c>
      <c r="N192" s="30">
        <f t="shared" si="7"/>
        <v>1.9833540349999996</v>
      </c>
      <c r="O192" s="28">
        <f t="shared" si="8"/>
        <v>2.2003391931507803</v>
      </c>
      <c r="P192" s="28">
        <f t="shared" si="9"/>
        <v>0.57257577339521992</v>
      </c>
      <c r="Q192" s="28">
        <f t="shared" si="10"/>
        <v>0.13394649734453185</v>
      </c>
      <c r="R192" s="28">
        <f t="shared" si="11"/>
        <v>3.0937300424598595</v>
      </c>
      <c r="S192" s="28">
        <f t="shared" si="12"/>
        <v>2.6933202262895697</v>
      </c>
      <c r="T192" s="28">
        <f t="shared" si="13"/>
        <v>3.9336932281507799</v>
      </c>
    </row>
    <row r="193" spans="1:20" x14ac:dyDescent="0.2">
      <c r="A193" s="44">
        <v>42248</v>
      </c>
      <c r="B193" s="1">
        <v>4.6448142179999996</v>
      </c>
      <c r="C193" s="1">
        <v>3.7</v>
      </c>
      <c r="D193" s="1">
        <v>4.5534246575342499</v>
      </c>
      <c r="E193" s="18">
        <f t="shared" si="14"/>
        <v>4.9833540349999996</v>
      </c>
      <c r="F193" s="18">
        <f>AVERAGE($B$4:B192)</f>
        <v>3.2337601488162604</v>
      </c>
      <c r="G193" s="18">
        <f t="shared" si="5"/>
        <v>3.3732088593854632</v>
      </c>
      <c r="H193" s="19">
        <v>3</v>
      </c>
      <c r="I193" s="30">
        <f t="shared" si="15"/>
        <v>0.94481421799999943</v>
      </c>
      <c r="J193" s="30">
        <f t="shared" si="16"/>
        <v>9.1389560465749753E-2</v>
      </c>
      <c r="K193" s="30">
        <f t="shared" si="17"/>
        <v>-0.33853981700000002</v>
      </c>
      <c r="L193" s="30">
        <f t="shared" si="18"/>
        <v>1.4110540691837392</v>
      </c>
      <c r="M193" s="30">
        <f t="shared" si="19"/>
        <v>1.2716053586145364</v>
      </c>
      <c r="N193" s="30">
        <f t="shared" si="7"/>
        <v>1.6448142179999996</v>
      </c>
      <c r="O193" s="28">
        <f t="shared" si="8"/>
        <v>0.89267390653495049</v>
      </c>
      <c r="P193" s="28">
        <f t="shared" si="9"/>
        <v>8.35205176212293E-3</v>
      </c>
      <c r="Q193" s="28">
        <f t="shared" si="10"/>
        <v>0.11460920769439351</v>
      </c>
      <c r="R193" s="28">
        <f t="shared" si="11"/>
        <v>1.9910735861599886</v>
      </c>
      <c r="S193" s="28">
        <f t="shared" si="12"/>
        <v>1.6169801880572037</v>
      </c>
      <c r="T193" s="28">
        <f t="shared" si="13"/>
        <v>2.7054138117349504</v>
      </c>
    </row>
    <row r="194" spans="1:20" x14ac:dyDescent="0.2">
      <c r="A194" s="44">
        <v>42278</v>
      </c>
      <c r="B194" s="1">
        <v>3.9892012989999999</v>
      </c>
      <c r="C194" s="1">
        <v>3.5</v>
      </c>
      <c r="D194" s="1">
        <v>4.3953642384106004</v>
      </c>
      <c r="E194" s="18">
        <f t="shared" si="14"/>
        <v>4.6448142179999996</v>
      </c>
      <c r="F194" s="18">
        <f>AVERAGE($B$4:B193)</f>
        <v>3.2411867491803852</v>
      </c>
      <c r="G194" s="18">
        <f t="shared" si="5"/>
        <v>3.4080211588854632</v>
      </c>
      <c r="H194" s="19">
        <v>3</v>
      </c>
      <c r="I194" s="30">
        <f t="shared" si="15"/>
        <v>0.48920129899999987</v>
      </c>
      <c r="J194" s="30">
        <f t="shared" si="16"/>
        <v>-0.40616293941060055</v>
      </c>
      <c r="K194" s="30">
        <f t="shared" si="17"/>
        <v>-0.65561291899999974</v>
      </c>
      <c r="L194" s="30">
        <f t="shared" si="18"/>
        <v>0.74801454981961468</v>
      </c>
      <c r="M194" s="30">
        <f t="shared" si="19"/>
        <v>0.58118014011453667</v>
      </c>
      <c r="N194" s="30">
        <f t="shared" si="7"/>
        <v>0.98920129899999987</v>
      </c>
      <c r="O194" s="28">
        <f t="shared" si="8"/>
        <v>0.23931791094328728</v>
      </c>
      <c r="P194" s="28">
        <f t="shared" si="9"/>
        <v>0.16496833335065916</v>
      </c>
      <c r="Q194" s="28">
        <f t="shared" si="10"/>
        <v>0.4298282995597002</v>
      </c>
      <c r="R194" s="28">
        <f t="shared" si="11"/>
        <v>0.55952576674184085</v>
      </c>
      <c r="S194" s="28">
        <f t="shared" si="12"/>
        <v>0.33777035526355248</v>
      </c>
      <c r="T194" s="28">
        <f t="shared" si="13"/>
        <v>0.97851920994328712</v>
      </c>
    </row>
    <row r="195" spans="1:20" x14ac:dyDescent="0.2">
      <c r="A195" s="44">
        <v>42309</v>
      </c>
      <c r="B195" s="1">
        <v>3.9366702180000002</v>
      </c>
      <c r="C195" s="1">
        <v>3.5</v>
      </c>
      <c r="D195" s="1">
        <v>4.26644295302013</v>
      </c>
      <c r="E195" s="18">
        <f t="shared" si="14"/>
        <v>3.9892012989999999</v>
      </c>
      <c r="F195" s="18">
        <f>AVERAGE($B$4:B194)</f>
        <v>3.2451030557239431</v>
      </c>
      <c r="G195" s="18">
        <f t="shared" si="5"/>
        <v>3.4243554987254634</v>
      </c>
      <c r="H195" s="19">
        <v>3</v>
      </c>
      <c r="I195" s="30">
        <f t="shared" si="15"/>
        <v>0.43667021800000017</v>
      </c>
      <c r="J195" s="30">
        <f t="shared" si="16"/>
        <v>-0.32977273502012983</v>
      </c>
      <c r="K195" s="30">
        <f t="shared" si="17"/>
        <v>-5.2531080999999702E-2</v>
      </c>
      <c r="L195" s="30">
        <f t="shared" si="18"/>
        <v>0.69156716227605708</v>
      </c>
      <c r="M195" s="30">
        <f t="shared" si="19"/>
        <v>0.51231471927453676</v>
      </c>
      <c r="N195" s="30">
        <f t="shared" si="7"/>
        <v>0.93667021800000017</v>
      </c>
      <c r="O195" s="28">
        <f t="shared" si="8"/>
        <v>0.19068087928816768</v>
      </c>
      <c r="P195" s="28">
        <f t="shared" si="9"/>
        <v>0.10875005676265675</v>
      </c>
      <c r="Q195" s="28">
        <f t="shared" si="10"/>
        <v>2.7595144710285298E-3</v>
      </c>
      <c r="R195" s="28">
        <f t="shared" si="11"/>
        <v>0.47826513993855829</v>
      </c>
      <c r="S195" s="28">
        <f t="shared" si="12"/>
        <v>0.26246637158534741</v>
      </c>
      <c r="T195" s="28">
        <f t="shared" si="13"/>
        <v>0.87735109728816785</v>
      </c>
    </row>
    <row r="196" spans="1:20" x14ac:dyDescent="0.2">
      <c r="A196" s="44">
        <v>42339</v>
      </c>
      <c r="B196" s="1">
        <v>4.3785121279999997</v>
      </c>
      <c r="C196" s="1">
        <v>3.5</v>
      </c>
      <c r="D196" s="1">
        <v>4.2218309859154903</v>
      </c>
      <c r="E196" s="18">
        <f t="shared" si="14"/>
        <v>3.9366702180000002</v>
      </c>
      <c r="F196" s="18">
        <f>AVERAGE($B$4:B195)</f>
        <v>3.2487049680274644</v>
      </c>
      <c r="G196" s="18">
        <f t="shared" si="5"/>
        <v>3.4376438673654635</v>
      </c>
      <c r="H196" s="19">
        <v>3</v>
      </c>
      <c r="I196" s="30">
        <f t="shared" si="15"/>
        <v>0.87851212799999967</v>
      </c>
      <c r="J196" s="30">
        <f t="shared" si="16"/>
        <v>0.15668114208450934</v>
      </c>
      <c r="K196" s="30">
        <f t="shared" si="17"/>
        <v>0.4418419099999995</v>
      </c>
      <c r="L196" s="30">
        <f t="shared" si="18"/>
        <v>1.1298071599725352</v>
      </c>
      <c r="M196" s="30">
        <f t="shared" si="19"/>
        <v>0.94086826063453621</v>
      </c>
      <c r="N196" s="30">
        <f t="shared" si="7"/>
        <v>1.3785121279999997</v>
      </c>
      <c r="O196" s="28">
        <f t="shared" si="8"/>
        <v>0.77178355904308782</v>
      </c>
      <c r="P196" s="28">
        <f t="shared" si="9"/>
        <v>2.4548980284906204E-2</v>
      </c>
      <c r="Q196" s="28">
        <f t="shared" si="10"/>
        <v>0.19522427343244766</v>
      </c>
      <c r="R196" s="28">
        <f t="shared" si="11"/>
        <v>1.2764642187252058</v>
      </c>
      <c r="S196" s="28">
        <f t="shared" si="12"/>
        <v>0.88523308386945754</v>
      </c>
      <c r="T196" s="28">
        <f t="shared" si="13"/>
        <v>1.9002956870430874</v>
      </c>
    </row>
    <row r="197" spans="1:20" x14ac:dyDescent="0.2">
      <c r="A197" s="44">
        <v>42370</v>
      </c>
      <c r="B197" s="1">
        <v>4.7886569699999999</v>
      </c>
      <c r="C197" s="1">
        <v>3.5</v>
      </c>
      <c r="D197" s="1">
        <v>4.0808510638297903</v>
      </c>
      <c r="E197" s="18">
        <f t="shared" si="14"/>
        <v>4.3785121279999997</v>
      </c>
      <c r="F197" s="18">
        <f>AVERAGE($B$4:B196)</f>
        <v>3.2545588911361305</v>
      </c>
      <c r="G197" s="18">
        <f t="shared" si="5"/>
        <v>3.4517761091054631</v>
      </c>
      <c r="H197" s="19">
        <v>3</v>
      </c>
      <c r="I197" s="30">
        <f t="shared" si="15"/>
        <v>1.2886569699999999</v>
      </c>
      <c r="J197" s="30">
        <f t="shared" si="16"/>
        <v>0.70780590617020955</v>
      </c>
      <c r="K197" s="30">
        <f t="shared" si="17"/>
        <v>0.41014484200000023</v>
      </c>
      <c r="L197" s="30">
        <f t="shared" si="18"/>
        <v>1.5340980788638694</v>
      </c>
      <c r="M197" s="30">
        <f t="shared" si="19"/>
        <v>1.3368808608945368</v>
      </c>
      <c r="N197" s="30">
        <f t="shared" si="7"/>
        <v>1.7886569699999999</v>
      </c>
      <c r="O197" s="28">
        <f t="shared" si="8"/>
        <v>1.6606367863295806</v>
      </c>
      <c r="P197" s="28">
        <f t="shared" si="9"/>
        <v>0.50098920080943155</v>
      </c>
      <c r="Q197" s="28">
        <f t="shared" si="10"/>
        <v>0.16821879141920515</v>
      </c>
      <c r="R197" s="28">
        <f t="shared" si="11"/>
        <v>2.353456915573815</v>
      </c>
      <c r="S197" s="28">
        <f t="shared" si="12"/>
        <v>1.7872504362261179</v>
      </c>
      <c r="T197" s="28">
        <f t="shared" si="13"/>
        <v>3.1992937563295807</v>
      </c>
    </row>
    <row r="198" spans="1:20" x14ac:dyDescent="0.2">
      <c r="A198" s="44">
        <v>42401</v>
      </c>
      <c r="B198" s="1">
        <v>4.7116053879999997</v>
      </c>
      <c r="C198" s="1">
        <v>3.4</v>
      </c>
      <c r="D198" s="1">
        <v>4.1120300751879704</v>
      </c>
      <c r="E198" s="18">
        <f t="shared" si="14"/>
        <v>4.7886569699999999</v>
      </c>
      <c r="F198" s="18">
        <f>AVERAGE($B$4:B197)</f>
        <v>3.2624666131921298</v>
      </c>
      <c r="G198" s="18">
        <f t="shared" si="5"/>
        <v>3.4689950144054635</v>
      </c>
      <c r="H198" s="19">
        <v>3</v>
      </c>
      <c r="I198" s="30">
        <f t="shared" si="15"/>
        <v>1.3116053879999998</v>
      </c>
      <c r="J198" s="30">
        <f t="shared" si="16"/>
        <v>0.59957531281202936</v>
      </c>
      <c r="K198" s="30">
        <f t="shared" si="17"/>
        <v>-7.7051582000000174E-2</v>
      </c>
      <c r="L198" s="30">
        <f t="shared" si="18"/>
        <v>1.4491387748078699</v>
      </c>
      <c r="M198" s="30">
        <f t="shared" si="19"/>
        <v>1.2426103735945362</v>
      </c>
      <c r="N198" s="30">
        <f t="shared" si="7"/>
        <v>1.7116053879999997</v>
      </c>
      <c r="O198" s="28">
        <f t="shared" si="8"/>
        <v>1.72030869383063</v>
      </c>
      <c r="P198" s="28">
        <f t="shared" si="9"/>
        <v>0.35949055573364286</v>
      </c>
      <c r="Q198" s="28">
        <f t="shared" si="10"/>
        <v>5.9369462887027512E-3</v>
      </c>
      <c r="R198" s="28">
        <f t="shared" si="11"/>
        <v>2.1000031886516544</v>
      </c>
      <c r="S198" s="28">
        <f t="shared" si="12"/>
        <v>1.5440805405647529</v>
      </c>
      <c r="T198" s="28">
        <f t="shared" si="13"/>
        <v>2.9295930042306297</v>
      </c>
    </row>
    <row r="199" spans="1:20" x14ac:dyDescent="0.2">
      <c r="A199" s="44">
        <v>42430</v>
      </c>
      <c r="B199" s="1">
        <v>4.4520436060000002</v>
      </c>
      <c r="C199" s="1">
        <v>3.3</v>
      </c>
      <c r="D199" s="1">
        <v>4.1043478260869604</v>
      </c>
      <c r="E199" s="18">
        <f t="shared" si="14"/>
        <v>4.7116053879999997</v>
      </c>
      <c r="F199" s="18">
        <f>AVERAGE($B$4:B198)</f>
        <v>3.2698980940885805</v>
      </c>
      <c r="G199" s="18">
        <f t="shared" si="5"/>
        <v>3.4744724662054636</v>
      </c>
      <c r="H199" s="19">
        <v>3</v>
      </c>
      <c r="I199" s="30">
        <f t="shared" si="15"/>
        <v>1.1520436060000003</v>
      </c>
      <c r="J199" s="30">
        <f t="shared" si="16"/>
        <v>0.34769577991303979</v>
      </c>
      <c r="K199" s="30">
        <f t="shared" si="17"/>
        <v>-0.25956178199999957</v>
      </c>
      <c r="L199" s="30">
        <f t="shared" si="18"/>
        <v>1.1821455119114197</v>
      </c>
      <c r="M199" s="30">
        <f t="shared" si="19"/>
        <v>0.97757113979453658</v>
      </c>
      <c r="N199" s="30">
        <f t="shared" si="7"/>
        <v>1.4520436060000002</v>
      </c>
      <c r="O199" s="28">
        <f t="shared" si="8"/>
        <v>1.3272044701254839</v>
      </c>
      <c r="P199" s="28">
        <f t="shared" si="9"/>
        <v>0.12089235536933701</v>
      </c>
      <c r="Q199" s="28">
        <f t="shared" si="10"/>
        <v>6.7372318675015308E-2</v>
      </c>
      <c r="R199" s="28">
        <f t="shared" si="11"/>
        <v>1.3974680113323126</v>
      </c>
      <c r="S199" s="28">
        <f t="shared" si="12"/>
        <v>0.95564533335918933</v>
      </c>
      <c r="T199" s="28">
        <f t="shared" si="13"/>
        <v>2.1084306337254839</v>
      </c>
    </row>
    <row r="200" spans="1:20" x14ac:dyDescent="0.2">
      <c r="A200" s="44">
        <v>42461</v>
      </c>
      <c r="B200" s="1">
        <v>4.1935543549999998</v>
      </c>
      <c r="C200" s="1">
        <v>3.3</v>
      </c>
      <c r="D200" s="1">
        <v>4.0191780821917797</v>
      </c>
      <c r="E200" s="18">
        <f t="shared" si="14"/>
        <v>4.4520436060000002</v>
      </c>
      <c r="F200" s="18">
        <f>AVERAGE($B$4:B199)</f>
        <v>3.2759294487411896</v>
      </c>
      <c r="G200" s="18">
        <f t="shared" si="5"/>
        <v>3.4785641037454638</v>
      </c>
      <c r="H200" s="19">
        <v>3</v>
      </c>
      <c r="I200" s="30">
        <f t="shared" si="15"/>
        <v>0.89355435500000002</v>
      </c>
      <c r="J200" s="30">
        <f t="shared" si="16"/>
        <v>0.1743762728082201</v>
      </c>
      <c r="K200" s="30">
        <f t="shared" si="17"/>
        <v>-0.25848925100000031</v>
      </c>
      <c r="L200" s="30">
        <f t="shared" si="18"/>
        <v>0.91762490625881021</v>
      </c>
      <c r="M200" s="30">
        <f t="shared" si="19"/>
        <v>0.71499025125453608</v>
      </c>
      <c r="N200" s="30">
        <f t="shared" si="7"/>
        <v>1.1935543549999998</v>
      </c>
      <c r="O200" s="28">
        <f t="shared" si="8"/>
        <v>0.79843938533946601</v>
      </c>
      <c r="P200" s="28">
        <f t="shared" si="9"/>
        <v>3.04070845184868E-2</v>
      </c>
      <c r="Q200" s="28">
        <f t="shared" si="10"/>
        <v>6.6816692882541162E-2</v>
      </c>
      <c r="R200" s="28">
        <f t="shared" si="11"/>
        <v>0.84203546858649025</v>
      </c>
      <c r="S200" s="28">
        <f t="shared" si="12"/>
        <v>0.51121105938902467</v>
      </c>
      <c r="T200" s="28">
        <f t="shared" si="13"/>
        <v>1.4245719983394656</v>
      </c>
    </row>
    <row r="201" spans="1:20" x14ac:dyDescent="0.2">
      <c r="A201" s="44">
        <v>42491</v>
      </c>
      <c r="B201" s="1">
        <v>4.2432470169999998</v>
      </c>
      <c r="C201" s="1">
        <v>3.2</v>
      </c>
      <c r="D201" s="1">
        <v>4.0378571428571401</v>
      </c>
      <c r="E201" s="18">
        <f t="shared" si="14"/>
        <v>4.1935543549999998</v>
      </c>
      <c r="F201" s="18">
        <f>AVERAGE($B$4:B200)</f>
        <v>3.2805874431892033</v>
      </c>
      <c r="G201" s="18">
        <f t="shared" si="5"/>
        <v>3.4741928932254638</v>
      </c>
      <c r="H201" s="19">
        <v>3</v>
      </c>
      <c r="I201" s="30">
        <f t="shared" si="15"/>
        <v>1.0432470169999997</v>
      </c>
      <c r="J201" s="30">
        <f t="shared" si="16"/>
        <v>0.2053898741428597</v>
      </c>
      <c r="K201" s="30">
        <f t="shared" si="17"/>
        <v>4.9692661999999999E-2</v>
      </c>
      <c r="L201" s="30">
        <f t="shared" si="18"/>
        <v>0.96265957381079659</v>
      </c>
      <c r="M201" s="30">
        <f t="shared" si="19"/>
        <v>0.76905412377453608</v>
      </c>
      <c r="N201" s="30">
        <f t="shared" si="7"/>
        <v>1.2432470169999998</v>
      </c>
      <c r="O201" s="28">
        <f t="shared" si="8"/>
        <v>1.0883643384793975</v>
      </c>
      <c r="P201" s="28">
        <f t="shared" si="9"/>
        <v>4.2185000400419746E-2</v>
      </c>
      <c r="Q201" s="28">
        <f t="shared" si="10"/>
        <v>2.4693606566462438E-3</v>
      </c>
      <c r="R201" s="28">
        <f t="shared" si="11"/>
        <v>0.92671345504958458</v>
      </c>
      <c r="S201" s="28">
        <f t="shared" si="12"/>
        <v>0.59144424529461948</v>
      </c>
      <c r="T201" s="28">
        <f t="shared" si="13"/>
        <v>1.5456631452793979</v>
      </c>
    </row>
    <row r="202" spans="1:20" x14ac:dyDescent="0.2">
      <c r="A202" s="44">
        <v>42522</v>
      </c>
      <c r="B202" s="1">
        <v>4.2072360929999997</v>
      </c>
      <c r="C202" s="1">
        <v>3.2</v>
      </c>
      <c r="D202" s="1">
        <v>3.9943661971830999</v>
      </c>
      <c r="E202" s="18">
        <f t="shared" si="14"/>
        <v>4.2432470169999998</v>
      </c>
      <c r="F202" s="18">
        <f>AVERAGE($B$4:B201)</f>
        <v>3.2854493602286521</v>
      </c>
      <c r="G202" s="18">
        <f t="shared" si="5"/>
        <v>3.483280845225464</v>
      </c>
      <c r="H202" s="19">
        <v>3</v>
      </c>
      <c r="I202" s="30">
        <f t="shared" si="15"/>
        <v>1.0072360929999995</v>
      </c>
      <c r="J202" s="30">
        <f t="shared" si="16"/>
        <v>0.21286989581689975</v>
      </c>
      <c r="K202" s="30">
        <f t="shared" si="17"/>
        <v>-3.6010924000000166E-2</v>
      </c>
      <c r="L202" s="30">
        <f t="shared" si="18"/>
        <v>0.92178673277134759</v>
      </c>
      <c r="M202" s="30">
        <f t="shared" si="19"/>
        <v>0.72395524777453568</v>
      </c>
      <c r="N202" s="30">
        <f t="shared" si="7"/>
        <v>1.2072360929999997</v>
      </c>
      <c r="O202" s="28">
        <f t="shared" si="8"/>
        <v>1.0145245470419035</v>
      </c>
      <c r="P202" s="28">
        <f t="shared" si="9"/>
        <v>4.5313592545097751E-2</v>
      </c>
      <c r="Q202" s="28">
        <f t="shared" si="10"/>
        <v>1.296786647333788E-3</v>
      </c>
      <c r="R202" s="28">
        <f t="shared" si="11"/>
        <v>0.84969078071327575</v>
      </c>
      <c r="S202" s="28">
        <f t="shared" si="12"/>
        <v>0.52411120078028939</v>
      </c>
      <c r="T202" s="28">
        <f t="shared" si="13"/>
        <v>1.4574189842419039</v>
      </c>
    </row>
    <row r="203" spans="1:20" x14ac:dyDescent="0.2">
      <c r="A203" s="44">
        <v>42552</v>
      </c>
      <c r="B203" s="1">
        <v>4.0195779539999998</v>
      </c>
      <c r="C203" s="1">
        <v>3.1</v>
      </c>
      <c r="D203" s="1">
        <v>3.9463576158940401</v>
      </c>
      <c r="E203" s="18">
        <f t="shared" si="14"/>
        <v>4.2072360929999997</v>
      </c>
      <c r="F203" s="18">
        <f>AVERAGE($B$4:B202)</f>
        <v>3.2900814543631816</v>
      </c>
      <c r="G203" s="18">
        <f t="shared" si="5"/>
        <v>3.4971992088054638</v>
      </c>
      <c r="H203" s="19">
        <v>3</v>
      </c>
      <c r="I203" s="30">
        <f t="shared" si="15"/>
        <v>0.91957795399999975</v>
      </c>
      <c r="J203" s="30">
        <f t="shared" si="16"/>
        <v>7.3220338105959737E-2</v>
      </c>
      <c r="K203" s="30">
        <f t="shared" si="17"/>
        <v>-0.18765813899999984</v>
      </c>
      <c r="L203" s="30">
        <f t="shared" si="18"/>
        <v>0.72949649963681829</v>
      </c>
      <c r="M203" s="30">
        <f t="shared" si="19"/>
        <v>0.52237874519453609</v>
      </c>
      <c r="N203" s="30">
        <f t="shared" si="7"/>
        <v>1.0195779539999998</v>
      </c>
      <c r="O203" s="28">
        <f t="shared" si="8"/>
        <v>0.84562361348282566</v>
      </c>
      <c r="P203" s="28">
        <f t="shared" si="9"/>
        <v>5.3612179123510599E-3</v>
      </c>
      <c r="Q203" s="28">
        <f t="shared" si="10"/>
        <v>3.5215577132943258E-2</v>
      </c>
      <c r="R203" s="28">
        <f t="shared" si="11"/>
        <v>0.53216514298237039</v>
      </c>
      <c r="S203" s="28">
        <f t="shared" si="12"/>
        <v>0.27287955343101805</v>
      </c>
      <c r="T203" s="28">
        <f t="shared" si="13"/>
        <v>1.0395392042828258</v>
      </c>
    </row>
    <row r="204" spans="1:20" x14ac:dyDescent="0.2">
      <c r="A204" s="44">
        <v>42583</v>
      </c>
      <c r="B204" s="1">
        <v>3.3719572059999998</v>
      </c>
      <c r="C204" s="1">
        <v>3</v>
      </c>
      <c r="D204" s="1">
        <v>3.8875000000000002</v>
      </c>
      <c r="E204" s="18">
        <f t="shared" si="14"/>
        <v>4.0195779539999998</v>
      </c>
      <c r="F204" s="18">
        <f>AVERAGE($B$4:B203)</f>
        <v>3.293728936861366</v>
      </c>
      <c r="G204" s="18">
        <f t="shared" si="5"/>
        <v>3.5149765373854636</v>
      </c>
      <c r="H204" s="19">
        <v>3</v>
      </c>
      <c r="I204" s="30">
        <f t="shared" si="15"/>
        <v>0.37195720599999982</v>
      </c>
      <c r="J204" s="30">
        <f t="shared" si="16"/>
        <v>-0.51554279400000036</v>
      </c>
      <c r="K204" s="30">
        <f t="shared" si="17"/>
        <v>-0.64762074800000002</v>
      </c>
      <c r="L204" s="30">
        <f t="shared" si="18"/>
        <v>7.8228269138633788E-2</v>
      </c>
      <c r="M204" s="30">
        <f t="shared" si="19"/>
        <v>-0.14301933138546374</v>
      </c>
      <c r="N204" s="30">
        <f t="shared" si="7"/>
        <v>0.37195720599999982</v>
      </c>
      <c r="O204" s="28">
        <f t="shared" si="8"/>
        <v>0.1383521630953263</v>
      </c>
      <c r="P204" s="28">
        <f t="shared" si="9"/>
        <v>0.26578437244532682</v>
      </c>
      <c r="Q204" s="28">
        <f t="shared" si="10"/>
        <v>0.41941263324007955</v>
      </c>
      <c r="R204" s="28">
        <f t="shared" si="11"/>
        <v>6.1196620924265236E-3</v>
      </c>
      <c r="S204" s="28">
        <f t="shared" si="12"/>
        <v>2.0454529149945094E-2</v>
      </c>
      <c r="T204" s="28">
        <f t="shared" si="13"/>
        <v>0.1383521630953263</v>
      </c>
    </row>
    <row r="205" spans="1:20" x14ac:dyDescent="0.2">
      <c r="A205" s="44">
        <v>42614</v>
      </c>
      <c r="B205" s="1">
        <v>3.0960034140000001</v>
      </c>
      <c r="C205" s="1">
        <v>3</v>
      </c>
      <c r="D205" s="1">
        <v>3.7948905109489099</v>
      </c>
      <c r="E205" s="18">
        <f t="shared" si="14"/>
        <v>3.3719572059999998</v>
      </c>
      <c r="F205" s="18">
        <f>AVERAGE($B$4:B204)</f>
        <v>3.2941181322302149</v>
      </c>
      <c r="G205" s="18">
        <f t="shared" si="5"/>
        <v>3.529393913705464</v>
      </c>
      <c r="H205" s="19">
        <v>3</v>
      </c>
      <c r="I205" s="30">
        <f t="shared" si="15"/>
        <v>9.600341400000012E-2</v>
      </c>
      <c r="J205" s="30">
        <f t="shared" si="16"/>
        <v>-0.69888709694890983</v>
      </c>
      <c r="K205" s="30">
        <f t="shared" si="17"/>
        <v>-0.2759537919999997</v>
      </c>
      <c r="L205" s="30">
        <f t="shared" si="18"/>
        <v>-0.19811471823021476</v>
      </c>
      <c r="M205" s="30">
        <f t="shared" si="19"/>
        <v>-0.43339049970546384</v>
      </c>
      <c r="N205" s="30">
        <f t="shared" si="7"/>
        <v>9.600341400000012E-2</v>
      </c>
      <c r="O205" s="28">
        <f t="shared" si="8"/>
        <v>9.2166554996554184E-3</v>
      </c>
      <c r="P205" s="28">
        <f t="shared" si="9"/>
        <v>0.48844317428167489</v>
      </c>
      <c r="Q205" s="28">
        <f t="shared" si="10"/>
        <v>7.6150495319179098E-2</v>
      </c>
      <c r="R205" s="28">
        <f t="shared" si="11"/>
        <v>3.924944157943739E-2</v>
      </c>
      <c r="S205" s="28">
        <f t="shared" si="12"/>
        <v>0.18782732523495166</v>
      </c>
      <c r="T205" s="28">
        <f t="shared" si="13"/>
        <v>9.2166554996554184E-3</v>
      </c>
    </row>
    <row r="206" spans="1:20" x14ac:dyDescent="0.2">
      <c r="A206" s="44">
        <v>42644</v>
      </c>
      <c r="B206" s="1">
        <v>2.8474208810000001</v>
      </c>
      <c r="C206" s="1">
        <v>3</v>
      </c>
      <c r="D206" s="1">
        <v>3.5354014598540102</v>
      </c>
      <c r="E206" s="18">
        <f t="shared" si="14"/>
        <v>3.0960034140000001</v>
      </c>
      <c r="F206" s="18">
        <f>AVERAGE($B$4:B205)</f>
        <v>3.2931373662983825</v>
      </c>
      <c r="G206" s="18">
        <f t="shared" si="5"/>
        <v>3.5411650797054635</v>
      </c>
      <c r="H206" s="19">
        <v>3</v>
      </c>
      <c r="I206" s="30">
        <f t="shared" si="15"/>
        <v>-0.15257911899999987</v>
      </c>
      <c r="J206" s="30">
        <f t="shared" si="16"/>
        <v>-0.68798057885401009</v>
      </c>
      <c r="K206" s="30">
        <f t="shared" si="17"/>
        <v>-0.24858253299999999</v>
      </c>
      <c r="L206" s="30">
        <f t="shared" si="18"/>
        <v>-0.44571648529838237</v>
      </c>
      <c r="M206" s="30">
        <f t="shared" si="19"/>
        <v>-0.69374419870546333</v>
      </c>
      <c r="N206" s="30">
        <f t="shared" si="7"/>
        <v>-0.15257911899999987</v>
      </c>
      <c r="O206" s="28">
        <f t="shared" si="8"/>
        <v>2.3280387554816123E-2</v>
      </c>
      <c r="P206" s="28">
        <f t="shared" si="9"/>
        <v>0.47331727688029879</v>
      </c>
      <c r="Q206" s="28">
        <f t="shared" si="10"/>
        <v>6.1793275712696084E-2</v>
      </c>
      <c r="R206" s="28">
        <f t="shared" si="11"/>
        <v>0.19866318526674312</v>
      </c>
      <c r="S206" s="28">
        <f t="shared" si="12"/>
        <v>0.4812810132374854</v>
      </c>
      <c r="T206" s="28">
        <f t="shared" si="13"/>
        <v>2.3280387554816123E-2</v>
      </c>
    </row>
    <row r="207" spans="1:20" x14ac:dyDescent="0.2">
      <c r="A207" s="44">
        <v>42675</v>
      </c>
      <c r="B207" s="1">
        <v>2.9292128069999999</v>
      </c>
      <c r="C207" s="1">
        <v>3</v>
      </c>
      <c r="D207" s="1">
        <v>3.47348484848485</v>
      </c>
      <c r="E207" s="18">
        <f t="shared" si="14"/>
        <v>2.8474208810000001</v>
      </c>
      <c r="F207" s="18">
        <f>AVERAGE($B$4:B206)</f>
        <v>3.2909417185875527</v>
      </c>
      <c r="G207" s="18">
        <f t="shared" si="5"/>
        <v>3.5467568996054637</v>
      </c>
      <c r="H207" s="19">
        <v>3</v>
      </c>
      <c r="I207" s="30">
        <f t="shared" si="15"/>
        <v>-7.0787193000000137E-2</v>
      </c>
      <c r="J207" s="30">
        <f t="shared" si="16"/>
        <v>-0.54427204148485009</v>
      </c>
      <c r="K207" s="30">
        <f t="shared" si="17"/>
        <v>8.1791925999999737E-2</v>
      </c>
      <c r="L207" s="30">
        <f t="shared" si="18"/>
        <v>-0.36172891158755283</v>
      </c>
      <c r="M207" s="30">
        <f t="shared" si="19"/>
        <v>-0.61754409260546383</v>
      </c>
      <c r="N207" s="30">
        <f t="shared" si="7"/>
        <v>-7.0787193000000137E-2</v>
      </c>
      <c r="O207" s="28">
        <f t="shared" si="8"/>
        <v>5.0108266928192684E-3</v>
      </c>
      <c r="P207" s="28">
        <f t="shared" si="9"/>
        <v>0.29623205514208639</v>
      </c>
      <c r="Q207" s="28">
        <f t="shared" si="10"/>
        <v>6.6899191587894329E-3</v>
      </c>
      <c r="R207" s="28">
        <f t="shared" si="11"/>
        <v>0.13084780547831562</v>
      </c>
      <c r="S207" s="28">
        <f t="shared" si="12"/>
        <v>0.38136070631190572</v>
      </c>
      <c r="T207" s="28">
        <f t="shared" si="13"/>
        <v>5.0108266928192684E-3</v>
      </c>
    </row>
    <row r="208" spans="1:20" x14ac:dyDescent="0.2">
      <c r="A208" s="44">
        <v>42705</v>
      </c>
      <c r="B208" s="1">
        <v>2.7087246299999999</v>
      </c>
      <c r="C208" s="1">
        <v>2.9</v>
      </c>
      <c r="D208" s="1">
        <v>3.2762589928057499</v>
      </c>
      <c r="E208" s="18">
        <f t="shared" si="14"/>
        <v>2.9292128069999999</v>
      </c>
      <c r="F208" s="18">
        <f>AVERAGE($B$4:B207)</f>
        <v>3.2891685376483983</v>
      </c>
      <c r="G208" s="18">
        <f t="shared" si="5"/>
        <v>3.548441794565464</v>
      </c>
      <c r="H208" s="19">
        <v>3</v>
      </c>
      <c r="I208" s="30">
        <f t="shared" si="15"/>
        <v>-0.19127537000000006</v>
      </c>
      <c r="J208" s="30">
        <f t="shared" si="16"/>
        <v>-0.56753436280575009</v>
      </c>
      <c r="K208" s="30">
        <f t="shared" si="17"/>
        <v>-0.22048817700000001</v>
      </c>
      <c r="L208" s="30">
        <f t="shared" si="18"/>
        <v>-0.58044390764839848</v>
      </c>
      <c r="M208" s="30">
        <f t="shared" si="19"/>
        <v>-0.83971716456546419</v>
      </c>
      <c r="N208" s="30">
        <f t="shared" si="7"/>
        <v>-0.29127537000000014</v>
      </c>
      <c r="O208" s="28">
        <f t="shared" si="8"/>
        <v>3.6586267168636923E-2</v>
      </c>
      <c r="P208" s="28">
        <f t="shared" si="9"/>
        <v>0.32209525296532876</v>
      </c>
      <c r="Q208" s="28">
        <f t="shared" si="10"/>
        <v>4.8615036196783333E-2</v>
      </c>
      <c r="R208" s="28">
        <f t="shared" si="11"/>
        <v>0.33691512992614253</v>
      </c>
      <c r="S208" s="28">
        <f t="shared" si="12"/>
        <v>0.70512491646586284</v>
      </c>
      <c r="T208" s="28">
        <f t="shared" si="13"/>
        <v>8.484134116863698E-2</v>
      </c>
    </row>
    <row r="209" spans="1:20" x14ac:dyDescent="0.2">
      <c r="A209" s="44">
        <v>42736</v>
      </c>
      <c r="B209" s="1">
        <v>2.7796949990000002</v>
      </c>
      <c r="C209" s="1">
        <v>2.9</v>
      </c>
      <c r="D209" s="1">
        <v>3.1685314685314698</v>
      </c>
      <c r="E209" s="18">
        <f t="shared" si="14"/>
        <v>2.7087246299999999</v>
      </c>
      <c r="F209" s="18">
        <f>AVERAGE($B$4:B208)</f>
        <v>3.2863371039525524</v>
      </c>
      <c r="G209" s="18">
        <f t="shared" si="5"/>
        <v>3.5442173239054644</v>
      </c>
      <c r="H209" s="19">
        <v>3</v>
      </c>
      <c r="I209" s="30">
        <f t="shared" si="15"/>
        <v>-0.12030500099999974</v>
      </c>
      <c r="J209" s="30">
        <f t="shared" si="16"/>
        <v>-0.38883646953146966</v>
      </c>
      <c r="K209" s="30">
        <f t="shared" si="17"/>
        <v>7.0970369000000311E-2</v>
      </c>
      <c r="L209" s="30">
        <f t="shared" si="18"/>
        <v>-0.50664210495255224</v>
      </c>
      <c r="M209" s="30">
        <f t="shared" si="19"/>
        <v>-0.76452232490546423</v>
      </c>
      <c r="N209" s="30">
        <f t="shared" si="7"/>
        <v>-0.22030500099999983</v>
      </c>
      <c r="O209" s="28">
        <f t="shared" si="8"/>
        <v>1.447329326560994E-2</v>
      </c>
      <c r="P209" s="28">
        <f t="shared" si="9"/>
        <v>0.15119380003769753</v>
      </c>
      <c r="Q209" s="28">
        <f t="shared" si="10"/>
        <v>5.0367932759962054E-3</v>
      </c>
      <c r="R209" s="28">
        <f t="shared" si="11"/>
        <v>0.25668622251075296</v>
      </c>
      <c r="S209" s="28">
        <f t="shared" si="12"/>
        <v>0.58449438527885622</v>
      </c>
      <c r="T209" s="28">
        <f t="shared" si="13"/>
        <v>4.8534293465609925E-2</v>
      </c>
    </row>
    <row r="210" spans="1:20" x14ac:dyDescent="0.2">
      <c r="A210" s="44">
        <v>42767</v>
      </c>
      <c r="B210" s="1">
        <v>2.7401561050000001</v>
      </c>
      <c r="C210" s="1">
        <v>2.9</v>
      </c>
      <c r="D210" s="1">
        <v>3.1798561151079099</v>
      </c>
      <c r="E210" s="18">
        <f t="shared" si="14"/>
        <v>2.7796949990000002</v>
      </c>
      <c r="F210" s="18">
        <f>AVERAGE($B$4:B209)</f>
        <v>3.2838776762586077</v>
      </c>
      <c r="G210" s="18">
        <f t="shared" si="5"/>
        <v>3.5571643484654647</v>
      </c>
      <c r="H210" s="19">
        <v>3</v>
      </c>
      <c r="I210" s="30">
        <f t="shared" si="15"/>
        <v>-0.15984389499999985</v>
      </c>
      <c r="J210" s="30">
        <f t="shared" si="16"/>
        <v>-0.43970001010790982</v>
      </c>
      <c r="K210" s="30">
        <f t="shared" si="17"/>
        <v>-3.9538894000000102E-2</v>
      </c>
      <c r="L210" s="30">
        <f t="shared" si="18"/>
        <v>-0.54372157125860765</v>
      </c>
      <c r="M210" s="30">
        <f t="shared" si="19"/>
        <v>-0.81700824346546463</v>
      </c>
      <c r="N210" s="30">
        <f t="shared" si="7"/>
        <v>-0.25984389499999994</v>
      </c>
      <c r="O210" s="28">
        <f t="shared" si="8"/>
        <v>2.5550070768770975E-2</v>
      </c>
      <c r="P210" s="28">
        <f t="shared" si="9"/>
        <v>0.193336098888896</v>
      </c>
      <c r="Q210" s="28">
        <f t="shared" si="10"/>
        <v>1.5633241387432442E-3</v>
      </c>
      <c r="R210" s="28">
        <f t="shared" si="11"/>
        <v>0.29563314705192917</v>
      </c>
      <c r="S210" s="28">
        <f t="shared" si="12"/>
        <v>0.66750246989052398</v>
      </c>
      <c r="T210" s="28">
        <f t="shared" si="13"/>
        <v>6.7518849768770997E-2</v>
      </c>
    </row>
    <row r="211" spans="1:20" x14ac:dyDescent="0.2">
      <c r="A211" s="44">
        <v>42795</v>
      </c>
      <c r="B211" s="1">
        <v>2.743114984</v>
      </c>
      <c r="C211" s="1">
        <v>3</v>
      </c>
      <c r="D211" s="1">
        <v>3.2104477611940299</v>
      </c>
      <c r="E211" s="18">
        <f t="shared" si="14"/>
        <v>2.7401561050000001</v>
      </c>
      <c r="F211" s="18">
        <f>AVERAGE($B$4:B210)</f>
        <v>3.2812510020013197</v>
      </c>
      <c r="G211" s="18">
        <f t="shared" si="5"/>
        <v>3.5822281780454643</v>
      </c>
      <c r="H211" s="19">
        <v>3</v>
      </c>
      <c r="I211" s="30">
        <f t="shared" si="15"/>
        <v>-0.25688501600000002</v>
      </c>
      <c r="J211" s="30">
        <f t="shared" si="16"/>
        <v>-0.46733277719402988</v>
      </c>
      <c r="K211" s="30">
        <f t="shared" si="17"/>
        <v>2.9588789999999143E-3</v>
      </c>
      <c r="L211" s="30">
        <f t="shared" si="18"/>
        <v>-0.53813601800131972</v>
      </c>
      <c r="M211" s="30">
        <f t="shared" si="19"/>
        <v>-0.83911319404546436</v>
      </c>
      <c r="N211" s="30">
        <f t="shared" si="7"/>
        <v>-0.25688501600000002</v>
      </c>
      <c r="O211" s="28">
        <f t="shared" si="8"/>
        <v>6.5989911445320265E-2</v>
      </c>
      <c r="P211" s="28">
        <f t="shared" si="9"/>
        <v>0.21839992463988478</v>
      </c>
      <c r="Q211" s="28">
        <f t="shared" si="10"/>
        <v>8.7549649366404932E-6</v>
      </c>
      <c r="R211" s="28">
        <f t="shared" si="11"/>
        <v>0.28959037387031672</v>
      </c>
      <c r="S211" s="28">
        <f t="shared" si="12"/>
        <v>0.70411095242118116</v>
      </c>
      <c r="T211" s="28">
        <f t="shared" si="13"/>
        <v>6.5989911445320265E-2</v>
      </c>
    </row>
    <row r="212" spans="1:20" x14ac:dyDescent="0.2">
      <c r="A212" s="44">
        <v>42826</v>
      </c>
      <c r="B212" s="1">
        <v>2.6544988639999998</v>
      </c>
      <c r="C212" s="1">
        <v>2.9</v>
      </c>
      <c r="D212" s="1">
        <v>3.1969465648855002</v>
      </c>
      <c r="E212" s="18">
        <f t="shared" si="14"/>
        <v>2.743114984</v>
      </c>
      <c r="F212" s="18">
        <f>AVERAGE($B$4:B211)</f>
        <v>3.2786638096070826</v>
      </c>
      <c r="G212" s="18">
        <f t="shared" si="5"/>
        <v>3.6055311713054636</v>
      </c>
      <c r="H212" s="19">
        <v>3</v>
      </c>
      <c r="I212" s="30">
        <f t="shared" ref="I212:I243" si="20">B212-C212</f>
        <v>-0.24550113600000012</v>
      </c>
      <c r="J212" s="30">
        <f t="shared" ref="J212:J243" si="21">B212-D212</f>
        <v>-0.54244770088550043</v>
      </c>
      <c r="K212" s="30">
        <f t="shared" ref="K212:K243" si="22">B212-E212</f>
        <v>-8.8616120000000187E-2</v>
      </c>
      <c r="L212" s="30">
        <f t="shared" ref="L212:L243" si="23">B212-F212</f>
        <v>-0.6241649456070828</v>
      </c>
      <c r="M212" s="30">
        <f t="shared" ref="M212:M243" si="24">B212-G212</f>
        <v>-0.95103230730546384</v>
      </c>
      <c r="N212" s="30">
        <f t="shared" si="7"/>
        <v>-0.34550113600000021</v>
      </c>
      <c r="O212" s="28">
        <f t="shared" si="8"/>
        <v>6.0270807777290554E-2</v>
      </c>
      <c r="P212" s="28">
        <f t="shared" si="9"/>
        <v>0.29424950819596535</v>
      </c>
      <c r="Q212" s="28">
        <f t="shared" si="10"/>
        <v>7.8528167238544333E-3</v>
      </c>
      <c r="R212" s="28">
        <f t="shared" si="11"/>
        <v>0.38958187932469263</v>
      </c>
      <c r="S212" s="28">
        <f t="shared" si="12"/>
        <v>0.90446244953875421</v>
      </c>
      <c r="T212" s="28">
        <f t="shared" si="13"/>
        <v>0.11937103497729064</v>
      </c>
    </row>
    <row r="213" spans="1:20" x14ac:dyDescent="0.2">
      <c r="A213" s="44">
        <v>42856</v>
      </c>
      <c r="B213" s="1">
        <v>2.5545554890000002</v>
      </c>
      <c r="C213" s="1">
        <v>2.9</v>
      </c>
      <c r="D213" s="1">
        <v>3.1375000000000002</v>
      </c>
      <c r="E213" s="18">
        <f t="shared" ref="E213:E276" si="25">B212</f>
        <v>2.6544988639999998</v>
      </c>
      <c r="F213" s="18">
        <f>AVERAGE($B$4:B212)</f>
        <v>3.2756773744606371</v>
      </c>
      <c r="G213" s="18">
        <f t="shared" ref="G213:G276" si="26">AVERAGE(B163:B212)</f>
        <v>3.6325229158854637</v>
      </c>
      <c r="H213" s="19">
        <v>3</v>
      </c>
      <c r="I213" s="30">
        <f t="shared" si="20"/>
        <v>-0.34544451099999973</v>
      </c>
      <c r="J213" s="30">
        <f t="shared" si="21"/>
        <v>-0.582944511</v>
      </c>
      <c r="K213" s="30">
        <f t="shared" si="22"/>
        <v>-9.9943374999999612E-2</v>
      </c>
      <c r="L213" s="30">
        <f t="shared" si="23"/>
        <v>-0.72112188546063694</v>
      </c>
      <c r="M213" s="30">
        <f t="shared" si="24"/>
        <v>-1.0779674268854635</v>
      </c>
      <c r="N213" s="30">
        <f t="shared" ref="N213:N276" si="27">B213-H213</f>
        <v>-0.44544451099999982</v>
      </c>
      <c r="O213" s="28">
        <f t="shared" ref="O213:O276" si="28">I213^2</f>
        <v>0.11933191018002894</v>
      </c>
      <c r="P213" s="28">
        <f t="shared" ref="P213:P276" si="29">J213^2</f>
        <v>0.33982430290502913</v>
      </c>
      <c r="Q213" s="28">
        <f t="shared" ref="Q213:Q276" si="30">K213^2</f>
        <v>9.9886782063905478E-3</v>
      </c>
      <c r="R213" s="28">
        <f t="shared" ref="R213:R276" si="31">L213^2</f>
        <v>0.52001677369030397</v>
      </c>
      <c r="S213" s="28">
        <f t="shared" ref="S213:S276" si="32">M213^2</f>
        <v>1.1620137734260672</v>
      </c>
      <c r="T213" s="28">
        <f t="shared" ref="T213:T276" si="33">N213^2</f>
        <v>0.19842081238002895</v>
      </c>
    </row>
    <row r="214" spans="1:20" x14ac:dyDescent="0.2">
      <c r="A214" s="44">
        <v>42887</v>
      </c>
      <c r="B214" s="1">
        <v>1.6973592850000001</v>
      </c>
      <c r="C214" s="1">
        <v>2.9</v>
      </c>
      <c r="D214" s="1">
        <v>3.0367999999999999</v>
      </c>
      <c r="E214" s="18">
        <f t="shared" si="25"/>
        <v>2.5545554890000002</v>
      </c>
      <c r="F214" s="18">
        <f>AVERAGE($B$4:B213)</f>
        <v>3.2722434607203486</v>
      </c>
      <c r="G214" s="18">
        <f t="shared" si="26"/>
        <v>3.6495439690054634</v>
      </c>
      <c r="H214" s="19">
        <v>3</v>
      </c>
      <c r="I214" s="30">
        <f t="shared" si="20"/>
        <v>-1.2026407149999998</v>
      </c>
      <c r="J214" s="30">
        <f t="shared" si="21"/>
        <v>-1.3394407149999998</v>
      </c>
      <c r="K214" s="30">
        <f t="shared" si="22"/>
        <v>-0.85719620400000007</v>
      </c>
      <c r="L214" s="30">
        <f t="shared" si="23"/>
        <v>-1.5748841757203484</v>
      </c>
      <c r="M214" s="30">
        <f t="shared" si="24"/>
        <v>-1.9521846840054633</v>
      </c>
      <c r="N214" s="30">
        <f t="shared" si="27"/>
        <v>-1.3026407149999999</v>
      </c>
      <c r="O214" s="28">
        <f t="shared" si="28"/>
        <v>1.4463446893757108</v>
      </c>
      <c r="P214" s="28">
        <f t="shared" si="29"/>
        <v>1.7941014289997108</v>
      </c>
      <c r="Q214" s="28">
        <f t="shared" si="30"/>
        <v>0.7347853321520097</v>
      </c>
      <c r="R214" s="28">
        <f t="shared" si="31"/>
        <v>2.4802601669343614</v>
      </c>
      <c r="S214" s="28">
        <f t="shared" si="32"/>
        <v>3.8110250404655104</v>
      </c>
      <c r="T214" s="28">
        <f t="shared" si="33"/>
        <v>1.696872832375711</v>
      </c>
    </row>
    <row r="215" spans="1:20" x14ac:dyDescent="0.2">
      <c r="A215" s="44">
        <v>42917</v>
      </c>
      <c r="B215" s="1">
        <v>1.6965283470000001</v>
      </c>
      <c r="C215" s="1">
        <v>2.7</v>
      </c>
      <c r="D215" s="1">
        <v>2.8427419354838701</v>
      </c>
      <c r="E215" s="18">
        <f t="shared" si="25"/>
        <v>1.6973592850000001</v>
      </c>
      <c r="F215" s="18">
        <f>AVERAGE($B$4:B214)</f>
        <v>3.2647795546742802</v>
      </c>
      <c r="G215" s="18">
        <f t="shared" si="26"/>
        <v>3.6540362368054633</v>
      </c>
      <c r="H215" s="19">
        <v>3</v>
      </c>
      <c r="I215" s="30">
        <f t="shared" si="20"/>
        <v>-1.0034716530000001</v>
      </c>
      <c r="J215" s="30">
        <f t="shared" si="21"/>
        <v>-1.14621358848387</v>
      </c>
      <c r="K215" s="30">
        <f t="shared" si="22"/>
        <v>-8.3093800000000329E-4</v>
      </c>
      <c r="L215" s="30">
        <f t="shared" si="23"/>
        <v>-1.5682512076742801</v>
      </c>
      <c r="M215" s="30">
        <f t="shared" si="24"/>
        <v>-1.9575078898054632</v>
      </c>
      <c r="N215" s="30">
        <f t="shared" si="27"/>
        <v>-1.3034716529999999</v>
      </c>
      <c r="O215" s="28">
        <f t="shared" si="28"/>
        <v>1.0069553583745525</v>
      </c>
      <c r="P215" s="28">
        <f t="shared" si="29"/>
        <v>1.3138055904250705</v>
      </c>
      <c r="Q215" s="28">
        <f t="shared" si="30"/>
        <v>6.904579598440055E-7</v>
      </c>
      <c r="R215" s="28">
        <f t="shared" si="31"/>
        <v>2.4594118503718381</v>
      </c>
      <c r="S215" s="28">
        <f t="shared" si="32"/>
        <v>3.8318371386506374</v>
      </c>
      <c r="T215" s="28">
        <f t="shared" si="33"/>
        <v>1.6990383501745521</v>
      </c>
    </row>
    <row r="216" spans="1:20" x14ac:dyDescent="0.2">
      <c r="A216" s="44">
        <v>42948</v>
      </c>
      <c r="B216" s="1">
        <v>1.8523399949999999</v>
      </c>
      <c r="C216" s="1">
        <v>2.7</v>
      </c>
      <c r="D216" s="1">
        <v>2.8433070866141699</v>
      </c>
      <c r="E216" s="18">
        <f t="shared" si="25"/>
        <v>1.6965283470000001</v>
      </c>
      <c r="F216" s="18">
        <f>AVERAGE($B$4:B215)</f>
        <v>3.2573821433173262</v>
      </c>
      <c r="G216" s="18">
        <f t="shared" si="26"/>
        <v>3.6602031459054638</v>
      </c>
      <c r="H216" s="19">
        <v>3</v>
      </c>
      <c r="I216" s="30">
        <f t="shared" si="20"/>
        <v>-0.84766000500000027</v>
      </c>
      <c r="J216" s="30">
        <f t="shared" si="21"/>
        <v>-0.99096709161416996</v>
      </c>
      <c r="K216" s="30">
        <f t="shared" si="22"/>
        <v>0.1558116479999998</v>
      </c>
      <c r="L216" s="30">
        <f t="shared" si="23"/>
        <v>-1.4050421483173263</v>
      </c>
      <c r="M216" s="30">
        <f t="shared" si="24"/>
        <v>-1.8078631509054639</v>
      </c>
      <c r="N216" s="30">
        <f t="shared" si="27"/>
        <v>-1.1476600050000001</v>
      </c>
      <c r="O216" s="28">
        <f t="shared" si="28"/>
        <v>0.7185274840766005</v>
      </c>
      <c r="P216" s="28">
        <f t="shared" si="29"/>
        <v>0.98201577666224671</v>
      </c>
      <c r="Q216" s="28">
        <f t="shared" si="30"/>
        <v>2.4277269652475841E-2</v>
      </c>
      <c r="R216" s="28">
        <f t="shared" si="31"/>
        <v>1.9741434385481675</v>
      </c>
      <c r="S216" s="28">
        <f t="shared" si="32"/>
        <v>3.2683691724018322</v>
      </c>
      <c r="T216" s="28">
        <f t="shared" si="33"/>
        <v>1.3171234870766002</v>
      </c>
    </row>
    <row r="217" spans="1:20" x14ac:dyDescent="0.2">
      <c r="A217" s="44">
        <v>42979</v>
      </c>
      <c r="B217" s="1">
        <v>1.4514575270000001</v>
      </c>
      <c r="C217" s="1">
        <v>2.7</v>
      </c>
      <c r="D217" s="1">
        <v>2.7918918918918898</v>
      </c>
      <c r="E217" s="18">
        <f t="shared" si="25"/>
        <v>1.8523399949999999</v>
      </c>
      <c r="F217" s="18">
        <f>AVERAGE($B$4:B216)</f>
        <v>3.2507857013064463</v>
      </c>
      <c r="G217" s="18">
        <f t="shared" si="26"/>
        <v>3.6541358409654636</v>
      </c>
      <c r="H217" s="19">
        <v>3</v>
      </c>
      <c r="I217" s="30">
        <f t="shared" si="20"/>
        <v>-1.2485424730000001</v>
      </c>
      <c r="J217" s="30">
        <f t="shared" si="21"/>
        <v>-1.3404343648918897</v>
      </c>
      <c r="K217" s="30">
        <f t="shared" si="22"/>
        <v>-0.40088246799999983</v>
      </c>
      <c r="L217" s="30">
        <f t="shared" si="23"/>
        <v>-1.7993281743064462</v>
      </c>
      <c r="M217" s="30">
        <f t="shared" si="24"/>
        <v>-2.2026783139654635</v>
      </c>
      <c r="N217" s="30">
        <f t="shared" si="27"/>
        <v>-1.5485424729999999</v>
      </c>
      <c r="O217" s="28">
        <f t="shared" si="28"/>
        <v>1.558858306884956</v>
      </c>
      <c r="P217" s="28">
        <f t="shared" si="29"/>
        <v>1.7967642865831237</v>
      </c>
      <c r="Q217" s="28">
        <f t="shared" si="30"/>
        <v>0.16070675314977087</v>
      </c>
      <c r="R217" s="28">
        <f t="shared" si="31"/>
        <v>3.2375818788529687</v>
      </c>
      <c r="S217" s="28">
        <f t="shared" si="32"/>
        <v>4.8517917548137373</v>
      </c>
      <c r="T217" s="28">
        <f t="shared" si="33"/>
        <v>2.3979837906849553</v>
      </c>
    </row>
    <row r="218" spans="1:20" x14ac:dyDescent="0.2">
      <c r="A218" s="44">
        <v>43009</v>
      </c>
      <c r="B218" s="1">
        <v>1.8778073820000001</v>
      </c>
      <c r="C218" s="1">
        <v>2.5</v>
      </c>
      <c r="D218" s="1">
        <v>2.74461538461538</v>
      </c>
      <c r="E218" s="18">
        <f t="shared" si="25"/>
        <v>1.4514575270000001</v>
      </c>
      <c r="F218" s="18">
        <f>AVERAGE($B$4:B217)</f>
        <v>3.2423776257255752</v>
      </c>
      <c r="G218" s="18">
        <f t="shared" si="26"/>
        <v>3.6386833267654635</v>
      </c>
      <c r="H218" s="19">
        <v>3</v>
      </c>
      <c r="I218" s="30">
        <f t="shared" si="20"/>
        <v>-0.62219261799999992</v>
      </c>
      <c r="J218" s="30">
        <f t="shared" si="21"/>
        <v>-0.86680800261537994</v>
      </c>
      <c r="K218" s="30">
        <f t="shared" si="22"/>
        <v>0.426349855</v>
      </c>
      <c r="L218" s="30">
        <f t="shared" si="23"/>
        <v>-1.3645702437255751</v>
      </c>
      <c r="M218" s="30">
        <f t="shared" si="24"/>
        <v>-1.7608759447654634</v>
      </c>
      <c r="N218" s="30">
        <f t="shared" si="27"/>
        <v>-1.1221926179999999</v>
      </c>
      <c r="O218" s="28">
        <f t="shared" si="28"/>
        <v>0.3871236538936938</v>
      </c>
      <c r="P218" s="28">
        <f t="shared" si="29"/>
        <v>0.75135611339806452</v>
      </c>
      <c r="Q218" s="28">
        <f t="shared" si="30"/>
        <v>0.18177419885852103</v>
      </c>
      <c r="R218" s="28">
        <f t="shared" si="31"/>
        <v>1.8620519500612756</v>
      </c>
      <c r="S218" s="28">
        <f t="shared" si="32"/>
        <v>3.1006840928536632</v>
      </c>
      <c r="T218" s="28">
        <f t="shared" si="33"/>
        <v>1.2593162718936937</v>
      </c>
    </row>
    <row r="219" spans="1:20" x14ac:dyDescent="0.2">
      <c r="A219" s="44">
        <v>43040</v>
      </c>
      <c r="B219" s="1">
        <v>1.910216932</v>
      </c>
      <c r="C219" s="1">
        <v>2.5</v>
      </c>
      <c r="D219" s="1">
        <v>2.7738461538461499</v>
      </c>
      <c r="E219" s="18">
        <f t="shared" si="25"/>
        <v>1.8778073820000001</v>
      </c>
      <c r="F219" s="18">
        <f>AVERAGE($B$4:B218)</f>
        <v>3.2360307873826657</v>
      </c>
      <c r="G219" s="18">
        <f t="shared" si="26"/>
        <v>3.6304664153454631</v>
      </c>
      <c r="H219" s="19">
        <v>3</v>
      </c>
      <c r="I219" s="30">
        <f t="shared" si="20"/>
        <v>-0.58978306800000002</v>
      </c>
      <c r="J219" s="30">
        <f t="shared" si="21"/>
        <v>-0.86362922184614987</v>
      </c>
      <c r="K219" s="30">
        <f t="shared" si="22"/>
        <v>3.2409549999999898E-2</v>
      </c>
      <c r="L219" s="30">
        <f t="shared" si="23"/>
        <v>-1.3258138553826657</v>
      </c>
      <c r="M219" s="30">
        <f t="shared" si="24"/>
        <v>-1.7202494833454631</v>
      </c>
      <c r="N219" s="30">
        <f t="shared" si="27"/>
        <v>-1.089783068</v>
      </c>
      <c r="O219" s="28">
        <f t="shared" si="28"/>
        <v>0.34784406729949263</v>
      </c>
      <c r="P219" s="28">
        <f t="shared" si="29"/>
        <v>0.7458554328265864</v>
      </c>
      <c r="Q219" s="28">
        <f t="shared" si="30"/>
        <v>1.0503789312024934E-3</v>
      </c>
      <c r="R219" s="28">
        <f t="shared" si="31"/>
        <v>1.7577823791246481</v>
      </c>
      <c r="S219" s="28">
        <f t="shared" si="32"/>
        <v>2.9592582849503328</v>
      </c>
      <c r="T219" s="28">
        <f t="shared" si="33"/>
        <v>1.1876271352994927</v>
      </c>
    </row>
    <row r="220" spans="1:20" x14ac:dyDescent="0.2">
      <c r="A220" s="44">
        <v>43070</v>
      </c>
      <c r="B220" s="1">
        <v>2.2695936360000002</v>
      </c>
      <c r="C220" s="1">
        <v>2.7</v>
      </c>
      <c r="D220" s="1">
        <v>2.76160714285714</v>
      </c>
      <c r="E220" s="18">
        <f t="shared" si="25"/>
        <v>1.910216932</v>
      </c>
      <c r="F220" s="18">
        <f>AVERAGE($B$4:B219)</f>
        <v>3.2298927602744127</v>
      </c>
      <c r="G220" s="18">
        <f t="shared" si="26"/>
        <v>3.628590249805463</v>
      </c>
      <c r="H220" s="19">
        <v>3</v>
      </c>
      <c r="I220" s="30">
        <f t="shared" si="20"/>
        <v>-0.43040636399999999</v>
      </c>
      <c r="J220" s="30">
        <f t="shared" si="21"/>
        <v>-0.49201350685713985</v>
      </c>
      <c r="K220" s="30">
        <f t="shared" si="22"/>
        <v>0.35937670400000021</v>
      </c>
      <c r="L220" s="30">
        <f t="shared" si="23"/>
        <v>-0.96029912427441255</v>
      </c>
      <c r="M220" s="30">
        <f t="shared" si="24"/>
        <v>-1.3589966138054628</v>
      </c>
      <c r="N220" s="30">
        <f t="shared" si="27"/>
        <v>-0.73040636399999981</v>
      </c>
      <c r="O220" s="28">
        <f t="shared" si="28"/>
        <v>0.18524963817170048</v>
      </c>
      <c r="P220" s="28">
        <f t="shared" si="29"/>
        <v>0.2420772909298608</v>
      </c>
      <c r="Q220" s="28">
        <f t="shared" si="30"/>
        <v>0.12915161537790376</v>
      </c>
      <c r="R220" s="28">
        <f t="shared" si="31"/>
        <v>0.92217440808220363</v>
      </c>
      <c r="S220" s="28">
        <f t="shared" si="32"/>
        <v>1.8468717963347141</v>
      </c>
      <c r="T220" s="28">
        <f t="shared" si="33"/>
        <v>0.53349345657170022</v>
      </c>
    </row>
    <row r="221" spans="1:20" x14ac:dyDescent="0.2">
      <c r="A221" s="44">
        <v>43101</v>
      </c>
      <c r="B221" s="1">
        <v>2.1886507389999998</v>
      </c>
      <c r="C221" s="1">
        <v>2.6</v>
      </c>
      <c r="D221" s="1">
        <v>2.7229357799999998</v>
      </c>
      <c r="E221" s="18">
        <f t="shared" si="25"/>
        <v>2.2695936360000002</v>
      </c>
      <c r="F221" s="18">
        <f>AVERAGE($B$4:B220)</f>
        <v>3.2254674186878947</v>
      </c>
      <c r="G221" s="18">
        <f t="shared" si="26"/>
        <v>3.6392021861854631</v>
      </c>
      <c r="H221" s="19">
        <v>3</v>
      </c>
      <c r="I221" s="30">
        <f t="shared" si="20"/>
        <v>-0.41134926100000024</v>
      </c>
      <c r="J221" s="30">
        <f t="shared" si="21"/>
        <v>-0.53428504099999996</v>
      </c>
      <c r="K221" s="30">
        <f t="shared" si="22"/>
        <v>-8.0942897000000347E-2</v>
      </c>
      <c r="L221" s="30">
        <f t="shared" si="23"/>
        <v>-1.0368166796878948</v>
      </c>
      <c r="M221" s="30">
        <f t="shared" si="24"/>
        <v>-1.4505514471854632</v>
      </c>
      <c r="N221" s="30">
        <f t="shared" si="27"/>
        <v>-0.81134926100000015</v>
      </c>
      <c r="O221" s="28">
        <f t="shared" si="28"/>
        <v>0.16920821452524631</v>
      </c>
      <c r="P221" s="28">
        <f t="shared" si="29"/>
        <v>0.28546050503637166</v>
      </c>
      <c r="Q221" s="28">
        <f t="shared" si="30"/>
        <v>6.5517525747526648E-3</v>
      </c>
      <c r="R221" s="28">
        <f t="shared" si="31"/>
        <v>1.0749888272790307</v>
      </c>
      <c r="S221" s="28">
        <f t="shared" si="32"/>
        <v>2.1040995009318419</v>
      </c>
      <c r="T221" s="28">
        <f t="shared" si="33"/>
        <v>0.65828762332524637</v>
      </c>
    </row>
    <row r="222" spans="1:20" x14ac:dyDescent="0.2">
      <c r="A222" s="44">
        <v>43132</v>
      </c>
      <c r="B222" s="1">
        <v>2.0503282409999999</v>
      </c>
      <c r="C222" s="1">
        <v>2.6</v>
      </c>
      <c r="D222" s="1">
        <v>2.8258620689999998</v>
      </c>
      <c r="E222" s="18">
        <f t="shared" si="25"/>
        <v>2.1886507389999998</v>
      </c>
      <c r="F222" s="18">
        <f>AVERAGE($B$4:B221)</f>
        <v>3.2207113788728123</v>
      </c>
      <c r="G222" s="18">
        <f t="shared" si="26"/>
        <v>3.6339974017254639</v>
      </c>
      <c r="H222" s="19">
        <v>3</v>
      </c>
      <c r="I222" s="30">
        <f t="shared" si="20"/>
        <v>-0.5496717590000002</v>
      </c>
      <c r="J222" s="30">
        <f t="shared" si="21"/>
        <v>-0.77553382799999993</v>
      </c>
      <c r="K222" s="30">
        <f t="shared" si="22"/>
        <v>-0.13832249799999996</v>
      </c>
      <c r="L222" s="30">
        <f t="shared" si="23"/>
        <v>-1.1703831378728125</v>
      </c>
      <c r="M222" s="30">
        <f t="shared" si="24"/>
        <v>-1.583669160725464</v>
      </c>
      <c r="N222" s="30">
        <f t="shared" si="27"/>
        <v>-0.94967175900000012</v>
      </c>
      <c r="O222" s="28">
        <f t="shared" si="28"/>
        <v>0.3021390426421543</v>
      </c>
      <c r="P222" s="28">
        <f t="shared" si="29"/>
        <v>0.60145271837233349</v>
      </c>
      <c r="Q222" s="28">
        <f t="shared" si="30"/>
        <v>1.9133113452959993E-2</v>
      </c>
      <c r="R222" s="28">
        <f t="shared" si="31"/>
        <v>1.3697966894170108</v>
      </c>
      <c r="S222" s="28">
        <f t="shared" si="32"/>
        <v>2.5080080106328957</v>
      </c>
      <c r="T222" s="28">
        <f t="shared" si="33"/>
        <v>0.90187644984215432</v>
      </c>
    </row>
    <row r="223" spans="1:20" x14ac:dyDescent="0.2">
      <c r="A223" s="44">
        <v>43160</v>
      </c>
      <c r="B223" s="1">
        <v>1.866031768</v>
      </c>
      <c r="C223" s="1">
        <v>2.6</v>
      </c>
      <c r="D223" s="1">
        <v>2.7889830510000002</v>
      </c>
      <c r="E223" s="18">
        <f t="shared" si="25"/>
        <v>2.0503282409999999</v>
      </c>
      <c r="F223" s="18">
        <f>AVERAGE($B$4:B222)</f>
        <v>3.2153671636313841</v>
      </c>
      <c r="G223" s="18">
        <f t="shared" si="26"/>
        <v>3.6182424704254634</v>
      </c>
      <c r="H223" s="19">
        <v>3</v>
      </c>
      <c r="I223" s="30">
        <f t="shared" si="20"/>
        <v>-0.73396823200000005</v>
      </c>
      <c r="J223" s="30">
        <f t="shared" si="21"/>
        <v>-0.92295128300000018</v>
      </c>
      <c r="K223" s="30">
        <f t="shared" si="22"/>
        <v>-0.18429647299999985</v>
      </c>
      <c r="L223" s="30">
        <f t="shared" si="23"/>
        <v>-1.349335395631384</v>
      </c>
      <c r="M223" s="30">
        <f t="shared" si="24"/>
        <v>-1.7522107024254634</v>
      </c>
      <c r="N223" s="30">
        <f t="shared" si="27"/>
        <v>-1.133968232</v>
      </c>
      <c r="O223" s="28">
        <f t="shared" si="28"/>
        <v>0.53870936558520588</v>
      </c>
      <c r="P223" s="28">
        <f t="shared" si="29"/>
        <v>0.85183907079134646</v>
      </c>
      <c r="Q223" s="28">
        <f t="shared" si="30"/>
        <v>3.3965189960239672E-2</v>
      </c>
      <c r="R223" s="28">
        <f t="shared" si="31"/>
        <v>1.8207060099037038</v>
      </c>
      <c r="S223" s="28">
        <f t="shared" si="32"/>
        <v>3.0702423456943357</v>
      </c>
      <c r="T223" s="28">
        <f t="shared" si="33"/>
        <v>1.2858839511852058</v>
      </c>
    </row>
    <row r="224" spans="1:20" x14ac:dyDescent="0.2">
      <c r="A224" s="44">
        <v>43191</v>
      </c>
      <c r="B224" s="1">
        <v>1.8946598990000001</v>
      </c>
      <c r="C224" s="1">
        <v>2.7</v>
      </c>
      <c r="D224" s="1">
        <v>2.7622641510000001</v>
      </c>
      <c r="E224" s="18">
        <f t="shared" si="25"/>
        <v>1.866031768</v>
      </c>
      <c r="F224" s="18">
        <f>AVERAGE($B$4:B223)</f>
        <v>3.2092338209239686</v>
      </c>
      <c r="G224" s="18">
        <f t="shared" si="26"/>
        <v>3.5987760982654629</v>
      </c>
      <c r="H224" s="19">
        <v>3</v>
      </c>
      <c r="I224" s="30">
        <f t="shared" si="20"/>
        <v>-0.80534010100000009</v>
      </c>
      <c r="J224" s="30">
        <f t="shared" si="21"/>
        <v>-0.86760425200000002</v>
      </c>
      <c r="K224" s="30">
        <f t="shared" si="22"/>
        <v>2.8628131000000057E-2</v>
      </c>
      <c r="L224" s="30">
        <f t="shared" si="23"/>
        <v>-1.3145739219239685</v>
      </c>
      <c r="M224" s="30">
        <f t="shared" si="24"/>
        <v>-1.7041161992654628</v>
      </c>
      <c r="N224" s="30">
        <f t="shared" si="27"/>
        <v>-1.1053401009999999</v>
      </c>
      <c r="O224" s="28">
        <f t="shared" si="28"/>
        <v>0.64857267827869036</v>
      </c>
      <c r="P224" s="28">
        <f t="shared" si="29"/>
        <v>0.75273713808847953</v>
      </c>
      <c r="Q224" s="28">
        <f t="shared" si="30"/>
        <v>8.1956988455316425E-4</v>
      </c>
      <c r="R224" s="28">
        <f t="shared" si="31"/>
        <v>1.7281045962025641</v>
      </c>
      <c r="S224" s="28">
        <f t="shared" si="32"/>
        <v>2.9040120205989663</v>
      </c>
      <c r="T224" s="28">
        <f t="shared" si="33"/>
        <v>1.22177673887869</v>
      </c>
    </row>
    <row r="225" spans="1:20" x14ac:dyDescent="0.2">
      <c r="A225" s="44">
        <v>43221</v>
      </c>
      <c r="B225" s="1">
        <v>2.028635762</v>
      </c>
      <c r="C225" s="1">
        <v>2.8</v>
      </c>
      <c r="D225" s="1">
        <v>2.7648648649999998</v>
      </c>
      <c r="E225" s="18">
        <f t="shared" si="25"/>
        <v>1.8946598990000001</v>
      </c>
      <c r="F225" s="18">
        <f>AVERAGE($B$4:B224)</f>
        <v>3.2032855226347197</v>
      </c>
      <c r="G225" s="18">
        <f t="shared" si="26"/>
        <v>3.5723196158854642</v>
      </c>
      <c r="H225" s="19">
        <v>3</v>
      </c>
      <c r="I225" s="30">
        <f t="shared" si="20"/>
        <v>-0.77136423799999987</v>
      </c>
      <c r="J225" s="30">
        <f t="shared" si="21"/>
        <v>-0.73622910299999988</v>
      </c>
      <c r="K225" s="30">
        <f t="shared" si="22"/>
        <v>0.13397586299999986</v>
      </c>
      <c r="L225" s="30">
        <f t="shared" si="23"/>
        <v>-1.1746497606347197</v>
      </c>
      <c r="M225" s="30">
        <f t="shared" si="24"/>
        <v>-1.5436838538854643</v>
      </c>
      <c r="N225" s="30">
        <f t="shared" si="27"/>
        <v>-0.97136423800000005</v>
      </c>
      <c r="O225" s="28">
        <f t="shared" si="28"/>
        <v>0.59500278766532044</v>
      </c>
      <c r="P225" s="28">
        <f t="shared" si="29"/>
        <v>0.54203329210418449</v>
      </c>
      <c r="Q225" s="28">
        <f t="shared" si="30"/>
        <v>1.7949531866594731E-2</v>
      </c>
      <c r="R225" s="28">
        <f t="shared" si="31"/>
        <v>1.3798020601592043</v>
      </c>
      <c r="S225" s="28">
        <f t="shared" si="32"/>
        <v>2.3829598407466794</v>
      </c>
      <c r="T225" s="28">
        <f t="shared" si="33"/>
        <v>0.94354848286532078</v>
      </c>
    </row>
    <row r="226" spans="1:20" x14ac:dyDescent="0.2">
      <c r="A226" s="44">
        <v>43252</v>
      </c>
      <c r="B226" s="1">
        <v>2.5221711529999999</v>
      </c>
      <c r="C226" s="1">
        <v>2.9</v>
      </c>
      <c r="D226" s="1">
        <v>2.8396551720000001</v>
      </c>
      <c r="E226" s="18">
        <f t="shared" si="25"/>
        <v>2.028635762</v>
      </c>
      <c r="F226" s="18">
        <f>AVERAGE($B$4:B225)</f>
        <v>3.1979943074967254</v>
      </c>
      <c r="G226" s="18">
        <f t="shared" si="26"/>
        <v>3.5427942092199998</v>
      </c>
      <c r="H226" s="19">
        <v>3</v>
      </c>
      <c r="I226" s="30">
        <f t="shared" si="20"/>
        <v>-0.37782884699999997</v>
      </c>
      <c r="J226" s="30">
        <f t="shared" si="21"/>
        <v>-0.31748401900000012</v>
      </c>
      <c r="K226" s="30">
        <f t="shared" si="22"/>
        <v>0.49353539099999999</v>
      </c>
      <c r="L226" s="30">
        <f t="shared" si="23"/>
        <v>-0.67582315449672548</v>
      </c>
      <c r="M226" s="30">
        <f t="shared" si="24"/>
        <v>-1.0206230562199998</v>
      </c>
      <c r="N226" s="30">
        <f t="shared" si="27"/>
        <v>-0.47782884700000006</v>
      </c>
      <c r="O226" s="28">
        <f t="shared" si="28"/>
        <v>0.14275463762534937</v>
      </c>
      <c r="P226" s="28">
        <f t="shared" si="29"/>
        <v>0.10079610232039243</v>
      </c>
      <c r="Q226" s="28">
        <f t="shared" si="30"/>
        <v>0.24357718216952287</v>
      </c>
      <c r="R226" s="28">
        <f t="shared" si="31"/>
        <v>0.45673693615390487</v>
      </c>
      <c r="S226" s="28">
        <f t="shared" si="32"/>
        <v>1.041671422887853</v>
      </c>
      <c r="T226" s="28">
        <f t="shared" si="33"/>
        <v>0.22832040702534948</v>
      </c>
    </row>
    <row r="227" spans="1:20" x14ac:dyDescent="0.2">
      <c r="A227" s="44">
        <v>43282</v>
      </c>
      <c r="B227" s="1">
        <v>2.607997583</v>
      </c>
      <c r="C227" s="1">
        <v>3</v>
      </c>
      <c r="D227" s="1">
        <v>2.8895370370000002</v>
      </c>
      <c r="E227" s="18">
        <f t="shared" si="25"/>
        <v>2.5221711529999999</v>
      </c>
      <c r="F227" s="18">
        <f>AVERAGE($B$4:B226)</f>
        <v>3.1949637103913591</v>
      </c>
      <c r="G227" s="18">
        <f t="shared" si="26"/>
        <v>3.5066060912599992</v>
      </c>
      <c r="H227" s="19">
        <v>3</v>
      </c>
      <c r="I227" s="30">
        <f t="shared" si="20"/>
        <v>-0.39200241700000005</v>
      </c>
      <c r="J227" s="30">
        <f t="shared" si="21"/>
        <v>-0.28153945400000024</v>
      </c>
      <c r="K227" s="30">
        <f t="shared" si="22"/>
        <v>8.5826430000000009E-2</v>
      </c>
      <c r="L227" s="30">
        <f t="shared" si="23"/>
        <v>-0.58696612739135912</v>
      </c>
      <c r="M227" s="30">
        <f t="shared" si="24"/>
        <v>-0.89860850825999927</v>
      </c>
      <c r="N227" s="30">
        <f t="shared" si="27"/>
        <v>-0.39200241700000005</v>
      </c>
      <c r="O227" s="28">
        <f t="shared" si="28"/>
        <v>0.15366589493384192</v>
      </c>
      <c r="P227" s="28">
        <f t="shared" si="29"/>
        <v>7.926446415861825E-2</v>
      </c>
      <c r="Q227" s="28">
        <f t="shared" si="30"/>
        <v>7.3661760865449018E-3</v>
      </c>
      <c r="R227" s="28">
        <f t="shared" si="31"/>
        <v>0.34452923470480923</v>
      </c>
      <c r="S227" s="28">
        <f t="shared" si="32"/>
        <v>0.80749725111726123</v>
      </c>
      <c r="T227" s="28">
        <f t="shared" si="33"/>
        <v>0.15366589493384192</v>
      </c>
    </row>
    <row r="228" spans="1:20" x14ac:dyDescent="0.2">
      <c r="A228" s="44">
        <v>43313</v>
      </c>
      <c r="B228" s="1">
        <v>2.4875616250000001</v>
      </c>
      <c r="C228" s="1">
        <v>3</v>
      </c>
      <c r="D228" s="1">
        <v>2.9629310339999999</v>
      </c>
      <c r="E228" s="18">
        <f t="shared" si="25"/>
        <v>2.607997583</v>
      </c>
      <c r="F228" s="18">
        <f>AVERAGE($B$4:B227)</f>
        <v>3.1923433258940763</v>
      </c>
      <c r="G228" s="18">
        <f t="shared" si="26"/>
        <v>3.4639856917799996</v>
      </c>
      <c r="H228" s="19">
        <v>3</v>
      </c>
      <c r="I228" s="30">
        <f t="shared" si="20"/>
        <v>-0.51243837499999989</v>
      </c>
      <c r="J228" s="30">
        <f t="shared" si="21"/>
        <v>-0.4753694089999998</v>
      </c>
      <c r="K228" s="30">
        <f t="shared" si="22"/>
        <v>-0.12043595799999984</v>
      </c>
      <c r="L228" s="30">
        <f t="shared" si="23"/>
        <v>-0.70478170089407621</v>
      </c>
      <c r="M228" s="30">
        <f t="shared" si="24"/>
        <v>-0.97642406677999949</v>
      </c>
      <c r="N228" s="30">
        <f t="shared" si="27"/>
        <v>-0.51243837499999989</v>
      </c>
      <c r="O228" s="28">
        <f t="shared" si="28"/>
        <v>0.26259308817264049</v>
      </c>
      <c r="P228" s="28">
        <f t="shared" si="29"/>
        <v>0.22597607501300909</v>
      </c>
      <c r="Q228" s="28">
        <f t="shared" si="30"/>
        <v>1.4504819979377727E-2</v>
      </c>
      <c r="R228" s="28">
        <f t="shared" si="31"/>
        <v>0.4967172459151471</v>
      </c>
      <c r="S228" s="28">
        <f t="shared" si="32"/>
        <v>0.95340395818719292</v>
      </c>
      <c r="T228" s="28">
        <f t="shared" si="33"/>
        <v>0.26259308817264049</v>
      </c>
    </row>
    <row r="229" spans="1:20" x14ac:dyDescent="0.2">
      <c r="A229" s="44">
        <v>43344</v>
      </c>
      <c r="B229" s="1">
        <v>2.849709973</v>
      </c>
      <c r="C229" s="1">
        <v>3</v>
      </c>
      <c r="D229" s="1">
        <v>3.0188679249999999</v>
      </c>
      <c r="E229" s="18">
        <f t="shared" si="25"/>
        <v>2.4875616250000001</v>
      </c>
      <c r="F229" s="18">
        <f>AVERAGE($B$4:B228)</f>
        <v>3.1892109627789917</v>
      </c>
      <c r="G229" s="18">
        <f t="shared" si="26"/>
        <v>3.4274403873399995</v>
      </c>
      <c r="H229" s="19">
        <v>3</v>
      </c>
      <c r="I229" s="30">
        <f t="shared" si="20"/>
        <v>-0.15029002700000005</v>
      </c>
      <c r="J229" s="30">
        <f t="shared" si="21"/>
        <v>-0.16915795199999994</v>
      </c>
      <c r="K229" s="30">
        <f t="shared" si="22"/>
        <v>0.36214834799999984</v>
      </c>
      <c r="L229" s="30">
        <f t="shared" si="23"/>
        <v>-0.33950098977899179</v>
      </c>
      <c r="M229" s="30">
        <f t="shared" si="24"/>
        <v>-0.5777304143399995</v>
      </c>
      <c r="N229" s="30">
        <f t="shared" si="27"/>
        <v>-0.15029002700000005</v>
      </c>
      <c r="O229" s="28">
        <f t="shared" si="28"/>
        <v>2.2587092215660742E-2</v>
      </c>
      <c r="P229" s="28">
        <f t="shared" si="29"/>
        <v>2.8614412724834285E-2</v>
      </c>
      <c r="Q229" s="28">
        <f t="shared" si="30"/>
        <v>0.13115142595912899</v>
      </c>
      <c r="R229" s="28">
        <f t="shared" si="31"/>
        <v>0.11526092206091509</v>
      </c>
      <c r="S229" s="28">
        <f t="shared" si="32"/>
        <v>0.33377243165346748</v>
      </c>
      <c r="T229" s="28">
        <f t="shared" si="33"/>
        <v>2.2587092215660742E-2</v>
      </c>
    </row>
    <row r="230" spans="1:20" x14ac:dyDescent="0.2">
      <c r="A230" s="44">
        <v>43374</v>
      </c>
      <c r="B230" s="1">
        <v>2.6547214280000002</v>
      </c>
      <c r="C230" s="1">
        <v>3</v>
      </c>
      <c r="D230" s="1">
        <v>3.060869565</v>
      </c>
      <c r="E230" s="18">
        <f t="shared" si="25"/>
        <v>2.849709973</v>
      </c>
      <c r="F230" s="18">
        <f>AVERAGE($B$4:B229)</f>
        <v>3.1877087460100584</v>
      </c>
      <c r="G230" s="18">
        <f t="shared" si="26"/>
        <v>3.3944165869599994</v>
      </c>
      <c r="H230" s="19">
        <v>3</v>
      </c>
      <c r="I230" s="30">
        <f t="shared" si="20"/>
        <v>-0.34527857199999978</v>
      </c>
      <c r="J230" s="30">
        <f t="shared" si="21"/>
        <v>-0.40614813699999974</v>
      </c>
      <c r="K230" s="30">
        <f t="shared" si="22"/>
        <v>-0.19498854499999974</v>
      </c>
      <c r="L230" s="30">
        <f t="shared" si="23"/>
        <v>-0.53298731801005816</v>
      </c>
      <c r="M230" s="30">
        <f t="shared" si="24"/>
        <v>-0.73969515895999916</v>
      </c>
      <c r="N230" s="30">
        <f t="shared" si="27"/>
        <v>-0.34527857199999978</v>
      </c>
      <c r="O230" s="28">
        <f t="shared" si="28"/>
        <v>0.11921729228235904</v>
      </c>
      <c r="P230" s="28">
        <f t="shared" si="29"/>
        <v>0.16495630918857057</v>
      </c>
      <c r="Q230" s="28">
        <f t="shared" si="30"/>
        <v>3.8020532681216919E-2</v>
      </c>
      <c r="R230" s="28">
        <f t="shared" si="31"/>
        <v>0.28407548115955489</v>
      </c>
      <c r="S230" s="28">
        <f t="shared" si="32"/>
        <v>0.54714892818885841</v>
      </c>
      <c r="T230" s="28">
        <f t="shared" si="33"/>
        <v>0.11921729228235904</v>
      </c>
    </row>
    <row r="231" spans="1:20" x14ac:dyDescent="0.2">
      <c r="A231" s="44">
        <v>43405</v>
      </c>
      <c r="B231" s="1">
        <v>2.4814633019999999</v>
      </c>
      <c r="C231" s="1">
        <v>3</v>
      </c>
      <c r="D231" s="1">
        <v>3.0336448599999999</v>
      </c>
      <c r="E231" s="18">
        <f t="shared" si="25"/>
        <v>2.6547214280000002</v>
      </c>
      <c r="F231" s="18">
        <f>AVERAGE($B$4:B230)</f>
        <v>3.18536078425671</v>
      </c>
      <c r="G231" s="18">
        <f t="shared" si="26"/>
        <v>3.3566548479199994</v>
      </c>
      <c r="H231" s="19">
        <v>3</v>
      </c>
      <c r="I231" s="30">
        <f t="shared" si="20"/>
        <v>-0.51853669800000013</v>
      </c>
      <c r="J231" s="30">
        <f t="shared" si="21"/>
        <v>-0.55218155800000002</v>
      </c>
      <c r="K231" s="30">
        <f t="shared" si="22"/>
        <v>-0.17325812600000035</v>
      </c>
      <c r="L231" s="30">
        <f t="shared" si="23"/>
        <v>-0.70389748225671012</v>
      </c>
      <c r="M231" s="30">
        <f t="shared" si="24"/>
        <v>-0.87519154591999948</v>
      </c>
      <c r="N231" s="30">
        <f t="shared" si="27"/>
        <v>-0.51853669800000013</v>
      </c>
      <c r="O231" s="28">
        <f t="shared" si="28"/>
        <v>0.26888030717274336</v>
      </c>
      <c r="P231" s="28">
        <f t="shared" si="29"/>
        <v>0.30490447299530737</v>
      </c>
      <c r="Q231" s="28">
        <f t="shared" si="30"/>
        <v>3.0018378225031995E-2</v>
      </c>
      <c r="R231" s="28">
        <f t="shared" si="31"/>
        <v>0.49547166552733551</v>
      </c>
      <c r="S231" s="28">
        <f t="shared" si="32"/>
        <v>0.76596024204983859</v>
      </c>
      <c r="T231" s="28">
        <f t="shared" si="33"/>
        <v>0.26888030717274336</v>
      </c>
    </row>
    <row r="232" spans="1:20" x14ac:dyDescent="0.2">
      <c r="A232" s="44">
        <v>43435</v>
      </c>
      <c r="B232" s="1">
        <v>2.1409865799999999</v>
      </c>
      <c r="C232" s="1">
        <v>2.9</v>
      </c>
      <c r="D232" s="1">
        <v>2.9756521739999999</v>
      </c>
      <c r="E232" s="18">
        <f t="shared" si="25"/>
        <v>2.4814633019999999</v>
      </c>
      <c r="F232" s="18">
        <f>AVERAGE($B$4:B231)</f>
        <v>3.1822735145976893</v>
      </c>
      <c r="G232" s="18">
        <f t="shared" si="26"/>
        <v>3.3081726093999992</v>
      </c>
      <c r="H232" s="19">
        <v>3</v>
      </c>
      <c r="I232" s="30">
        <f t="shared" si="20"/>
        <v>-0.75901342000000005</v>
      </c>
      <c r="J232" s="30">
        <f t="shared" si="21"/>
        <v>-0.83466559400000007</v>
      </c>
      <c r="K232" s="30">
        <f t="shared" si="22"/>
        <v>-0.34047672200000001</v>
      </c>
      <c r="L232" s="30">
        <f t="shared" si="23"/>
        <v>-1.0412869345976894</v>
      </c>
      <c r="M232" s="30">
        <f t="shared" si="24"/>
        <v>-1.1671860293999994</v>
      </c>
      <c r="N232" s="30">
        <f t="shared" si="27"/>
        <v>-0.85901342000000014</v>
      </c>
      <c r="O232" s="28">
        <f t="shared" si="28"/>
        <v>0.57610137174009646</v>
      </c>
      <c r="P232" s="28">
        <f t="shared" si="29"/>
        <v>0.69666665380737292</v>
      </c>
      <c r="Q232" s="28">
        <f t="shared" si="30"/>
        <v>0.11592439822386529</v>
      </c>
      <c r="R232" s="28">
        <f t="shared" si="31"/>
        <v>1.0842784801638528</v>
      </c>
      <c r="S232" s="28">
        <f t="shared" si="32"/>
        <v>1.3623232272265362</v>
      </c>
      <c r="T232" s="28">
        <f t="shared" si="33"/>
        <v>0.73790405574009665</v>
      </c>
    </row>
    <row r="233" spans="1:20" x14ac:dyDescent="0.2">
      <c r="A233" s="44">
        <v>43466</v>
      </c>
      <c r="B233" s="1">
        <v>1.785591462</v>
      </c>
      <c r="C233" s="1">
        <v>2.8</v>
      </c>
      <c r="D233" s="1">
        <v>2.9615044250000002</v>
      </c>
      <c r="E233" s="18">
        <f t="shared" si="25"/>
        <v>2.1409865799999999</v>
      </c>
      <c r="F233" s="18">
        <f>AVERAGE($B$4:B232)</f>
        <v>3.1777264100797953</v>
      </c>
      <c r="G233" s="18">
        <f t="shared" si="26"/>
        <v>3.2373269689399997</v>
      </c>
      <c r="H233" s="19">
        <v>3</v>
      </c>
      <c r="I233" s="30">
        <f t="shared" si="20"/>
        <v>-1.0144085379999999</v>
      </c>
      <c r="J233" s="30">
        <f t="shared" si="21"/>
        <v>-1.1759129630000003</v>
      </c>
      <c r="K233" s="30">
        <f t="shared" si="22"/>
        <v>-0.3553951179999999</v>
      </c>
      <c r="L233" s="30">
        <f t="shared" si="23"/>
        <v>-1.3921349480797953</v>
      </c>
      <c r="M233" s="30">
        <f t="shared" si="24"/>
        <v>-1.4517355069399998</v>
      </c>
      <c r="N233" s="30">
        <f t="shared" si="27"/>
        <v>-1.214408538</v>
      </c>
      <c r="O233" s="28">
        <f t="shared" si="28"/>
        <v>1.0290246819672972</v>
      </c>
      <c r="P233" s="28">
        <f t="shared" si="29"/>
        <v>1.38277129655144</v>
      </c>
      <c r="Q233" s="28">
        <f t="shared" si="30"/>
        <v>0.12630568989823385</v>
      </c>
      <c r="R233" s="28">
        <f t="shared" si="31"/>
        <v>1.9380397136651344</v>
      </c>
      <c r="S233" s="28">
        <f t="shared" si="32"/>
        <v>2.1075359821103379</v>
      </c>
      <c r="T233" s="28">
        <f t="shared" si="33"/>
        <v>1.4747880971672975</v>
      </c>
    </row>
    <row r="234" spans="1:20" x14ac:dyDescent="0.2">
      <c r="A234" s="44">
        <v>43497</v>
      </c>
      <c r="B234" s="1">
        <v>1.727118956</v>
      </c>
      <c r="C234" s="1">
        <v>2.8</v>
      </c>
      <c r="D234" s="1">
        <v>2.8785123970000002</v>
      </c>
      <c r="E234" s="18">
        <f t="shared" si="25"/>
        <v>1.785591462</v>
      </c>
      <c r="F234" s="18">
        <f>AVERAGE($B$4:B233)</f>
        <v>3.1716736494359701</v>
      </c>
      <c r="G234" s="18">
        <f t="shared" si="26"/>
        <v>3.1640006949600004</v>
      </c>
      <c r="H234" s="19">
        <v>3</v>
      </c>
      <c r="I234" s="30">
        <f t="shared" si="20"/>
        <v>-1.0728810439999998</v>
      </c>
      <c r="J234" s="30">
        <f t="shared" si="21"/>
        <v>-1.1513934410000002</v>
      </c>
      <c r="K234" s="30">
        <f t="shared" si="22"/>
        <v>-5.847250599999998E-2</v>
      </c>
      <c r="L234" s="30">
        <f t="shared" si="23"/>
        <v>-1.4445546934359701</v>
      </c>
      <c r="M234" s="30">
        <f t="shared" si="24"/>
        <v>-1.4368817389600004</v>
      </c>
      <c r="N234" s="30">
        <f t="shared" si="27"/>
        <v>-1.272881044</v>
      </c>
      <c r="O234" s="28">
        <f t="shared" si="28"/>
        <v>1.1510737345745297</v>
      </c>
      <c r="P234" s="28">
        <f t="shared" si="29"/>
        <v>1.3257068559778209</v>
      </c>
      <c r="Q234" s="28">
        <f t="shared" si="30"/>
        <v>3.4190339579200338E-3</v>
      </c>
      <c r="R234" s="28">
        <f t="shared" si="31"/>
        <v>2.0867382623278896</v>
      </c>
      <c r="S234" s="28">
        <f t="shared" si="32"/>
        <v>2.0646291317567145</v>
      </c>
      <c r="T234" s="28">
        <f t="shared" si="33"/>
        <v>1.62022615217453</v>
      </c>
    </row>
    <row r="235" spans="1:20" x14ac:dyDescent="0.2">
      <c r="A235" s="44">
        <v>43525</v>
      </c>
      <c r="B235" s="1">
        <v>2.0045923380000001</v>
      </c>
      <c r="C235" s="1">
        <v>2.8</v>
      </c>
      <c r="D235" s="1">
        <v>2.8305084749999998</v>
      </c>
      <c r="E235" s="18">
        <f t="shared" si="25"/>
        <v>1.727118956</v>
      </c>
      <c r="F235" s="18">
        <f>AVERAGE($B$4:B234)</f>
        <v>3.1654201659146022</v>
      </c>
      <c r="G235" s="18">
        <f t="shared" si="26"/>
        <v>3.1056154533200004</v>
      </c>
      <c r="H235" s="19">
        <v>3</v>
      </c>
      <c r="I235" s="30">
        <f t="shared" si="20"/>
        <v>-0.79540766199999968</v>
      </c>
      <c r="J235" s="30">
        <f t="shared" si="21"/>
        <v>-0.82591613699999966</v>
      </c>
      <c r="K235" s="30">
        <f t="shared" si="22"/>
        <v>0.27747338200000016</v>
      </c>
      <c r="L235" s="30">
        <f t="shared" si="23"/>
        <v>-1.160827827914602</v>
      </c>
      <c r="M235" s="30">
        <f t="shared" si="24"/>
        <v>-1.1010231153200003</v>
      </c>
      <c r="N235" s="30">
        <f t="shared" si="27"/>
        <v>-0.99540766199999986</v>
      </c>
      <c r="O235" s="28">
        <f t="shared" si="28"/>
        <v>0.63267334876830572</v>
      </c>
      <c r="P235" s="28">
        <f t="shared" si="29"/>
        <v>0.68213746535700226</v>
      </c>
      <c r="Q235" s="28">
        <f t="shared" si="30"/>
        <v>7.6991477718518012E-2</v>
      </c>
      <c r="R235" s="28">
        <f t="shared" si="31"/>
        <v>1.3475212460609329</v>
      </c>
      <c r="S235" s="28">
        <f t="shared" si="32"/>
        <v>1.2122519004689587</v>
      </c>
      <c r="T235" s="28">
        <f t="shared" si="33"/>
        <v>0.99083641356830598</v>
      </c>
    </row>
    <row r="236" spans="1:20" x14ac:dyDescent="0.2">
      <c r="A236" s="44">
        <v>43556</v>
      </c>
      <c r="B236" s="1">
        <v>1.9974903420000001</v>
      </c>
      <c r="C236" s="1">
        <v>2.8</v>
      </c>
      <c r="D236" s="1">
        <v>2.8224999999999998</v>
      </c>
      <c r="E236" s="18">
        <f t="shared" si="25"/>
        <v>2.0045923380000001</v>
      </c>
      <c r="F236" s="18">
        <f>AVERAGE($B$4:B235)</f>
        <v>3.1604165976908321</v>
      </c>
      <c r="G236" s="18">
        <f t="shared" si="26"/>
        <v>3.0549017850000006</v>
      </c>
      <c r="H236" s="19">
        <v>3</v>
      </c>
      <c r="I236" s="30">
        <f t="shared" si="20"/>
        <v>-0.80250965799999974</v>
      </c>
      <c r="J236" s="30">
        <f t="shared" si="21"/>
        <v>-0.8250096579999997</v>
      </c>
      <c r="K236" s="30">
        <f t="shared" si="22"/>
        <v>-7.1019960000000548E-3</v>
      </c>
      <c r="L236" s="30">
        <f t="shared" si="23"/>
        <v>-1.162926255690832</v>
      </c>
      <c r="M236" s="30">
        <f t="shared" si="24"/>
        <v>-1.0574114430000006</v>
      </c>
      <c r="N236" s="30">
        <f t="shared" si="27"/>
        <v>-1.0025096579999999</v>
      </c>
      <c r="O236" s="28">
        <f t="shared" si="28"/>
        <v>0.64402175118327654</v>
      </c>
      <c r="P236" s="28">
        <f t="shared" si="29"/>
        <v>0.68064093579327645</v>
      </c>
      <c r="Q236" s="28">
        <f t="shared" si="30"/>
        <v>5.0438347184016779E-5</v>
      </c>
      <c r="R236" s="28">
        <f t="shared" si="31"/>
        <v>1.3523974761750983</v>
      </c>
      <c r="S236" s="28">
        <f t="shared" si="32"/>
        <v>1.1181189597873435</v>
      </c>
      <c r="T236" s="28">
        <f t="shared" si="33"/>
        <v>1.0050256143832768</v>
      </c>
    </row>
    <row r="237" spans="1:20" x14ac:dyDescent="0.2">
      <c r="A237" s="44">
        <v>43586</v>
      </c>
      <c r="B237" s="1">
        <v>2.3494044989999998</v>
      </c>
      <c r="C237" s="1">
        <v>2.9</v>
      </c>
      <c r="D237" s="1">
        <v>2.8401574799999998</v>
      </c>
      <c r="E237" s="18">
        <f t="shared" si="25"/>
        <v>1.9974903420000001</v>
      </c>
      <c r="F237" s="18">
        <f>AVERAGE($B$4:B236)</f>
        <v>3.1554254978810001</v>
      </c>
      <c r="G237" s="18">
        <f t="shared" si="26"/>
        <v>3.0068531166800003</v>
      </c>
      <c r="H237" s="19">
        <v>3</v>
      </c>
      <c r="I237" s="30">
        <f t="shared" si="20"/>
        <v>-0.5505955010000001</v>
      </c>
      <c r="J237" s="30">
        <f t="shared" si="21"/>
        <v>-0.49075298099999998</v>
      </c>
      <c r="K237" s="30">
        <f t="shared" si="22"/>
        <v>0.35191415699999973</v>
      </c>
      <c r="L237" s="30">
        <f t="shared" si="23"/>
        <v>-0.80602099888100032</v>
      </c>
      <c r="M237" s="30">
        <f t="shared" si="24"/>
        <v>-0.65744861768000051</v>
      </c>
      <c r="N237" s="30">
        <f t="shared" si="27"/>
        <v>-0.65059550100000019</v>
      </c>
      <c r="O237" s="28">
        <f t="shared" si="28"/>
        <v>0.30315540572144112</v>
      </c>
      <c r="P237" s="28">
        <f t="shared" si="29"/>
        <v>0.24083848836038635</v>
      </c>
      <c r="Q237" s="28">
        <f t="shared" si="30"/>
        <v>0.12384357389702046</v>
      </c>
      <c r="R237" s="28">
        <f t="shared" si="31"/>
        <v>0.64966985063712557</v>
      </c>
      <c r="S237" s="28">
        <f t="shared" si="32"/>
        <v>0.43223868488934347</v>
      </c>
      <c r="T237" s="28">
        <f t="shared" si="33"/>
        <v>0.42327450592144122</v>
      </c>
    </row>
    <row r="238" spans="1:20" x14ac:dyDescent="0.2">
      <c r="A238" s="44">
        <v>43617</v>
      </c>
      <c r="B238" s="1">
        <v>2.3052039450000001</v>
      </c>
      <c r="C238" s="1">
        <v>2.9</v>
      </c>
      <c r="D238" s="1">
        <v>2.8920634920000001</v>
      </c>
      <c r="E238" s="18">
        <f t="shared" si="25"/>
        <v>2.3494044989999998</v>
      </c>
      <c r="F238" s="18">
        <f>AVERAGE($B$4:B237)</f>
        <v>3.1519809636977483</v>
      </c>
      <c r="G238" s="18">
        <f t="shared" si="26"/>
        <v>2.97016030682</v>
      </c>
      <c r="H238" s="19">
        <v>3</v>
      </c>
      <c r="I238" s="30">
        <f t="shared" si="20"/>
        <v>-0.59479605499999977</v>
      </c>
      <c r="J238" s="30">
        <f t="shared" si="21"/>
        <v>-0.58685954699999998</v>
      </c>
      <c r="K238" s="30">
        <f t="shared" si="22"/>
        <v>-4.420055399999967E-2</v>
      </c>
      <c r="L238" s="30">
        <f t="shared" si="23"/>
        <v>-0.84677701869774813</v>
      </c>
      <c r="M238" s="30">
        <f t="shared" si="24"/>
        <v>-0.66495636181999984</v>
      </c>
      <c r="N238" s="30">
        <f t="shared" si="27"/>
        <v>-0.69479605499999986</v>
      </c>
      <c r="O238" s="28">
        <f t="shared" si="28"/>
        <v>0.35378234704356276</v>
      </c>
      <c r="P238" s="28">
        <f t="shared" si="29"/>
        <v>0.34440412790504521</v>
      </c>
      <c r="Q238" s="28">
        <f t="shared" si="30"/>
        <v>1.9536889739068869E-3</v>
      </c>
      <c r="R238" s="28">
        <f t="shared" si="31"/>
        <v>0.71703131939464648</v>
      </c>
      <c r="S238" s="28">
        <f t="shared" si="32"/>
        <v>0.44216696312489057</v>
      </c>
      <c r="T238" s="28">
        <f t="shared" si="33"/>
        <v>0.48274155804356284</v>
      </c>
    </row>
    <row r="239" spans="1:20" x14ac:dyDescent="0.2">
      <c r="A239" s="44">
        <v>43647</v>
      </c>
      <c r="B239" s="1">
        <v>2.2017733210000001</v>
      </c>
      <c r="C239" s="1">
        <v>2.8</v>
      </c>
      <c r="D239" s="1">
        <v>2.8414634150000002</v>
      </c>
      <c r="E239" s="18">
        <f t="shared" si="25"/>
        <v>2.3052039450000001</v>
      </c>
      <c r="F239" s="18">
        <f>AVERAGE($B$4:B238)</f>
        <v>3.1483776572352045</v>
      </c>
      <c r="G239" s="18">
        <f t="shared" si="26"/>
        <v>2.9335386085200001</v>
      </c>
      <c r="H239" s="19">
        <v>3</v>
      </c>
      <c r="I239" s="30">
        <f t="shared" si="20"/>
        <v>-0.59822667899999971</v>
      </c>
      <c r="J239" s="30">
        <f t="shared" si="21"/>
        <v>-0.6396900940000001</v>
      </c>
      <c r="K239" s="30">
        <f t="shared" si="22"/>
        <v>-0.10343062400000003</v>
      </c>
      <c r="L239" s="30">
        <f t="shared" si="23"/>
        <v>-0.94660433623520435</v>
      </c>
      <c r="M239" s="30">
        <f t="shared" si="24"/>
        <v>-0.73176528752000003</v>
      </c>
      <c r="N239" s="30">
        <f t="shared" si="27"/>
        <v>-0.79822667899999988</v>
      </c>
      <c r="O239" s="28">
        <f t="shared" si="28"/>
        <v>0.3578751594673687</v>
      </c>
      <c r="P239" s="28">
        <f t="shared" si="29"/>
        <v>0.40920341636172897</v>
      </c>
      <c r="Q239" s="28">
        <f t="shared" si="30"/>
        <v>1.0697893981029381E-2</v>
      </c>
      <c r="R239" s="28">
        <f t="shared" si="31"/>
        <v>0.89605976937929177</v>
      </c>
      <c r="S239" s="28">
        <f t="shared" si="32"/>
        <v>0.53548043601922835</v>
      </c>
      <c r="T239" s="28">
        <f t="shared" si="33"/>
        <v>0.6371658310673689</v>
      </c>
    </row>
    <row r="240" spans="1:20" x14ac:dyDescent="0.2">
      <c r="A240" s="44">
        <v>43678</v>
      </c>
      <c r="B240" s="1">
        <v>2.3066356579999998</v>
      </c>
      <c r="C240" s="1">
        <v>2.8</v>
      </c>
      <c r="D240" s="1">
        <v>2.8008000000000002</v>
      </c>
      <c r="E240" s="18">
        <f t="shared" si="25"/>
        <v>2.2017733210000001</v>
      </c>
      <c r="F240" s="18">
        <f>AVERAGE($B$4:B239)</f>
        <v>3.144366621912174</v>
      </c>
      <c r="G240" s="18">
        <f t="shared" si="26"/>
        <v>2.8981893713799995</v>
      </c>
      <c r="H240" s="19">
        <v>3</v>
      </c>
      <c r="I240" s="30">
        <f t="shared" si="20"/>
        <v>-0.49336434200000001</v>
      </c>
      <c r="J240" s="30">
        <f t="shared" si="21"/>
        <v>-0.49416434200000037</v>
      </c>
      <c r="K240" s="30">
        <f t="shared" si="22"/>
        <v>0.10486233699999969</v>
      </c>
      <c r="L240" s="30">
        <f t="shared" si="23"/>
        <v>-0.83773096391217416</v>
      </c>
      <c r="M240" s="30">
        <f t="shared" si="24"/>
        <v>-0.59155371337999973</v>
      </c>
      <c r="N240" s="30">
        <f t="shared" si="27"/>
        <v>-0.69336434200000019</v>
      </c>
      <c r="O240" s="28">
        <f t="shared" si="28"/>
        <v>0.24340837395709297</v>
      </c>
      <c r="P240" s="28">
        <f t="shared" si="29"/>
        <v>0.24419839690429332</v>
      </c>
      <c r="Q240" s="28">
        <f t="shared" si="30"/>
        <v>1.0996109721101505E-2</v>
      </c>
      <c r="R240" s="28">
        <f t="shared" si="31"/>
        <v>0.70179316789722046</v>
      </c>
      <c r="S240" s="28">
        <f t="shared" si="32"/>
        <v>0.34993579581366685</v>
      </c>
      <c r="T240" s="28">
        <f t="shared" si="33"/>
        <v>0.48075411075709323</v>
      </c>
    </row>
    <row r="241" spans="1:20" x14ac:dyDescent="0.2">
      <c r="A241" s="44">
        <v>43709</v>
      </c>
      <c r="B241" s="1">
        <v>2.113110593</v>
      </c>
      <c r="C241" s="1">
        <v>2.8</v>
      </c>
      <c r="D241" s="1">
        <v>2.8180180180000001</v>
      </c>
      <c r="E241" s="18">
        <f t="shared" si="25"/>
        <v>2.3066356579999998</v>
      </c>
      <c r="F241" s="18">
        <f>AVERAGE($B$4:B240)</f>
        <v>3.1408318921066374</v>
      </c>
      <c r="G241" s="18">
        <f t="shared" si="26"/>
        <v>2.8559442271000002</v>
      </c>
      <c r="H241" s="19">
        <v>3</v>
      </c>
      <c r="I241" s="30">
        <f t="shared" si="20"/>
        <v>-0.68688940699999979</v>
      </c>
      <c r="J241" s="30">
        <f t="shared" si="21"/>
        <v>-0.70490742500000003</v>
      </c>
      <c r="K241" s="30">
        <f t="shared" si="22"/>
        <v>-0.19352506499999977</v>
      </c>
      <c r="L241" s="30">
        <f t="shared" si="23"/>
        <v>-1.0277212991066373</v>
      </c>
      <c r="M241" s="30">
        <f t="shared" si="24"/>
        <v>-0.74283363410000014</v>
      </c>
      <c r="N241" s="30">
        <f t="shared" si="27"/>
        <v>-0.88688940699999996</v>
      </c>
      <c r="O241" s="28">
        <f t="shared" si="28"/>
        <v>0.47181705744881136</v>
      </c>
      <c r="P241" s="28">
        <f t="shared" si="29"/>
        <v>0.49689447782013069</v>
      </c>
      <c r="Q241" s="28">
        <f t="shared" si="30"/>
        <v>3.745195078325414E-2</v>
      </c>
      <c r="R241" s="28">
        <f t="shared" si="31"/>
        <v>1.0562110686374344</v>
      </c>
      <c r="S241" s="28">
        <f t="shared" si="32"/>
        <v>0.55180180795021294</v>
      </c>
      <c r="T241" s="28">
        <f t="shared" si="33"/>
        <v>0.78657282024881159</v>
      </c>
    </row>
    <row r="242" spans="1:20" x14ac:dyDescent="0.2">
      <c r="A242" s="44">
        <v>43739</v>
      </c>
      <c r="B242" s="1">
        <v>2.5353523390000001</v>
      </c>
      <c r="C242" s="1">
        <v>2.9</v>
      </c>
      <c r="D242" s="1">
        <v>2.8410256409999999</v>
      </c>
      <c r="E242" s="18">
        <f t="shared" si="25"/>
        <v>2.113110593</v>
      </c>
      <c r="F242" s="18">
        <f>AVERAGE($B$4:B241)</f>
        <v>3.1365137353877022</v>
      </c>
      <c r="G242" s="18">
        <f t="shared" si="26"/>
        <v>2.8058590986199987</v>
      </c>
      <c r="H242" s="19">
        <v>3</v>
      </c>
      <c r="I242" s="30">
        <f t="shared" si="20"/>
        <v>-0.36464766099999979</v>
      </c>
      <c r="J242" s="30">
        <f t="shared" si="21"/>
        <v>-0.30567330199999976</v>
      </c>
      <c r="K242" s="30">
        <f t="shared" si="22"/>
        <v>0.42224174600000008</v>
      </c>
      <c r="L242" s="30">
        <f t="shared" si="23"/>
        <v>-0.60116139638770205</v>
      </c>
      <c r="M242" s="30">
        <f t="shared" si="24"/>
        <v>-0.27050675961999859</v>
      </c>
      <c r="N242" s="30">
        <f t="shared" si="27"/>
        <v>-0.46464766099999988</v>
      </c>
      <c r="O242" s="28">
        <f t="shared" si="28"/>
        <v>0.13296791667277078</v>
      </c>
      <c r="P242" s="28">
        <f t="shared" si="29"/>
        <v>9.3436167555583052E-2</v>
      </c>
      <c r="Q242" s="28">
        <f t="shared" si="30"/>
        <v>0.17828809206512858</v>
      </c>
      <c r="R242" s="28">
        <f t="shared" si="31"/>
        <v>0.36139502450681182</v>
      </c>
      <c r="S242" s="28">
        <f t="shared" si="32"/>
        <v>7.3173907000111699E-2</v>
      </c>
      <c r="T242" s="28">
        <f t="shared" si="33"/>
        <v>0.21589744887277082</v>
      </c>
    </row>
    <row r="243" spans="1:20" x14ac:dyDescent="0.2">
      <c r="A243" s="44">
        <v>43770</v>
      </c>
      <c r="B243" s="1">
        <v>2.7079331209999999</v>
      </c>
      <c r="C243" s="1">
        <v>2.7</v>
      </c>
      <c r="D243" s="1">
        <v>3.100869565</v>
      </c>
      <c r="E243" s="18">
        <f t="shared" si="25"/>
        <v>2.5353523390000001</v>
      </c>
      <c r="F243" s="18">
        <f>AVERAGE($B$4:B242)</f>
        <v>3.1339984157375445</v>
      </c>
      <c r="G243" s="18">
        <f t="shared" si="26"/>
        <v>2.7568990646999998</v>
      </c>
      <c r="H243" s="19">
        <v>3</v>
      </c>
      <c r="I243" s="30">
        <f t="shared" si="20"/>
        <v>7.9331209999997654E-3</v>
      </c>
      <c r="J243" s="30">
        <f t="shared" si="21"/>
        <v>-0.39293644400000005</v>
      </c>
      <c r="K243" s="30">
        <f t="shared" si="22"/>
        <v>0.17258078199999982</v>
      </c>
      <c r="L243" s="30">
        <f t="shared" si="23"/>
        <v>-0.42606529473754451</v>
      </c>
      <c r="M243" s="30">
        <f t="shared" si="24"/>
        <v>-4.8965943699999848E-2</v>
      </c>
      <c r="N243" s="30">
        <f t="shared" si="27"/>
        <v>-0.29206687900000006</v>
      </c>
      <c r="O243" s="28">
        <f t="shared" si="28"/>
        <v>6.293440880063728E-5</v>
      </c>
      <c r="P243" s="28">
        <f t="shared" si="29"/>
        <v>0.15439904902336518</v>
      </c>
      <c r="Q243" s="28">
        <f t="shared" si="30"/>
        <v>2.9784126315731463E-2</v>
      </c>
      <c r="R243" s="28">
        <f t="shared" si="31"/>
        <v>0.18153163537979067</v>
      </c>
      <c r="S243" s="28">
        <f t="shared" si="32"/>
        <v>2.397663642431555E-3</v>
      </c>
      <c r="T243" s="28">
        <f t="shared" si="33"/>
        <v>8.5303061808800679E-2</v>
      </c>
    </row>
    <row r="244" spans="1:20" x14ac:dyDescent="0.2">
      <c r="A244" s="44">
        <v>43800</v>
      </c>
      <c r="B244" s="1">
        <v>3.0004802110000002</v>
      </c>
      <c r="C244" s="1">
        <v>3.2</v>
      </c>
      <c r="D244" s="1">
        <v>3.774509804</v>
      </c>
      <c r="E244" s="18">
        <f t="shared" si="25"/>
        <v>2.7079331209999999</v>
      </c>
      <c r="F244" s="18">
        <f>AVERAGE($B$4:B243)</f>
        <v>3.1322231436761379</v>
      </c>
      <c r="G244" s="18">
        <f t="shared" si="26"/>
        <v>2.7181614427599992</v>
      </c>
      <c r="H244" s="19">
        <v>3</v>
      </c>
      <c r="I244" s="30">
        <f t="shared" ref="I244:I275" si="34">B244-C244</f>
        <v>-0.199519789</v>
      </c>
      <c r="J244" s="30">
        <f t="shared" ref="J244:J275" si="35">B244-D244</f>
        <v>-0.77402959299999985</v>
      </c>
      <c r="K244" s="30">
        <f t="shared" ref="K244:K275" si="36">B244-E244</f>
        <v>0.29254709000000023</v>
      </c>
      <c r="L244" s="30">
        <f t="shared" ref="L244:L275" si="37">B244-F244</f>
        <v>-0.13174293267613768</v>
      </c>
      <c r="M244" s="30">
        <f t="shared" ref="M244:M275" si="38">B244-G244</f>
        <v>0.28231876824000102</v>
      </c>
      <c r="N244" s="30">
        <f t="shared" si="27"/>
        <v>4.8021100000017469E-4</v>
      </c>
      <c r="O244" s="28">
        <f t="shared" si="28"/>
        <v>3.9808146202604519E-2</v>
      </c>
      <c r="P244" s="28">
        <f t="shared" si="29"/>
        <v>0.59912181083974536</v>
      </c>
      <c r="Q244" s="28">
        <f t="shared" si="30"/>
        <v>8.5583799867468238E-2</v>
      </c>
      <c r="R244" s="28">
        <f t="shared" si="31"/>
        <v>1.7356200310109347E-2</v>
      </c>
      <c r="S244" s="28">
        <f t="shared" si="32"/>
        <v>7.9703886900551413E-2</v>
      </c>
      <c r="T244" s="28">
        <f t="shared" si="33"/>
        <v>2.3060260452116779E-7</v>
      </c>
    </row>
    <row r="245" spans="1:20" x14ac:dyDescent="0.2">
      <c r="A245" s="44">
        <v>43831</v>
      </c>
      <c r="B245" s="1">
        <v>3.4688384550000002</v>
      </c>
      <c r="C245" s="1">
        <v>3.2</v>
      </c>
      <c r="D245" s="1">
        <v>3.4569767439999999</v>
      </c>
      <c r="E245" s="18">
        <f t="shared" si="25"/>
        <v>3.0004802110000002</v>
      </c>
      <c r="F245" s="18">
        <f>AVERAGE($B$4:B244)</f>
        <v>3.1316764925032077</v>
      </c>
      <c r="G245" s="18">
        <f t="shared" si="26"/>
        <v>2.6983870209999998</v>
      </c>
      <c r="H245" s="19">
        <v>3</v>
      </c>
      <c r="I245" s="30">
        <f t="shared" si="34"/>
        <v>0.26883845500000003</v>
      </c>
      <c r="J245" s="30">
        <f t="shared" si="35"/>
        <v>1.186171100000033E-2</v>
      </c>
      <c r="K245" s="30">
        <f t="shared" si="36"/>
        <v>0.46835824400000003</v>
      </c>
      <c r="L245" s="30">
        <f t="shared" si="37"/>
        <v>0.33716196249679253</v>
      </c>
      <c r="M245" s="30">
        <f t="shared" si="38"/>
        <v>0.77045143400000038</v>
      </c>
      <c r="N245" s="30">
        <f t="shared" si="27"/>
        <v>0.46883845500000021</v>
      </c>
      <c r="O245" s="28">
        <f t="shared" si="28"/>
        <v>7.2274114886787047E-2</v>
      </c>
      <c r="P245" s="28">
        <f t="shared" si="29"/>
        <v>1.4070018784752882E-4</v>
      </c>
      <c r="Q245" s="28">
        <f t="shared" si="30"/>
        <v>0.21935944472276356</v>
      </c>
      <c r="R245" s="28">
        <f t="shared" si="31"/>
        <v>0.11367818895468854</v>
      </c>
      <c r="S245" s="28">
        <f t="shared" si="32"/>
        <v>0.59359541215265699</v>
      </c>
      <c r="T245" s="28">
        <f t="shared" si="33"/>
        <v>0.21980949688678722</v>
      </c>
    </row>
    <row r="246" spans="1:20" x14ac:dyDescent="0.2">
      <c r="A246" s="44">
        <v>43862</v>
      </c>
      <c r="B246" s="1">
        <v>3.8847629100000001</v>
      </c>
      <c r="C246" s="1">
        <v>3</v>
      </c>
      <c r="D246" s="1">
        <v>3.3862385320000001</v>
      </c>
      <c r="E246" s="18">
        <f t="shared" si="25"/>
        <v>3.4688384550000002</v>
      </c>
      <c r="F246" s="18">
        <f>AVERAGE($B$4:B245)</f>
        <v>3.1330697237531946</v>
      </c>
      <c r="G246" s="18">
        <f t="shared" si="26"/>
        <v>2.6890303857399998</v>
      </c>
      <c r="H246" s="19">
        <v>3</v>
      </c>
      <c r="I246" s="30">
        <f t="shared" si="34"/>
        <v>0.88476291000000007</v>
      </c>
      <c r="J246" s="30">
        <f t="shared" si="35"/>
        <v>0.49852437799999993</v>
      </c>
      <c r="K246" s="30">
        <f t="shared" si="36"/>
        <v>0.41592445499999986</v>
      </c>
      <c r="L246" s="30">
        <f t="shared" si="37"/>
        <v>0.75169318624680548</v>
      </c>
      <c r="M246" s="30">
        <f t="shared" si="38"/>
        <v>1.1957325242600003</v>
      </c>
      <c r="N246" s="30">
        <f t="shared" si="27"/>
        <v>0.88476291000000007</v>
      </c>
      <c r="O246" s="28">
        <f t="shared" si="28"/>
        <v>0.78280540691166822</v>
      </c>
      <c r="P246" s="28">
        <f t="shared" si="29"/>
        <v>0.24852655546028682</v>
      </c>
      <c r="Q246" s="28">
        <f t="shared" si="30"/>
        <v>0.1729931522670469</v>
      </c>
      <c r="R246" s="28">
        <f t="shared" si="31"/>
        <v>0.56504264624987455</v>
      </c>
      <c r="S246" s="28">
        <f t="shared" si="32"/>
        <v>1.4297762695731921</v>
      </c>
      <c r="T246" s="28">
        <f t="shared" si="33"/>
        <v>0.78280540691166822</v>
      </c>
    </row>
    <row r="247" spans="1:20" x14ac:dyDescent="0.2">
      <c r="A247" s="44">
        <v>43891</v>
      </c>
      <c r="B247" s="1">
        <v>3.7362014339999998</v>
      </c>
      <c r="C247" s="1">
        <v>3.2</v>
      </c>
      <c r="D247" s="1">
        <v>3.5122950820000001</v>
      </c>
      <c r="E247" s="18">
        <f t="shared" si="25"/>
        <v>3.8847629100000001</v>
      </c>
      <c r="F247" s="18">
        <f>AVERAGE($B$4:B246)</f>
        <v>3.1361631113509176</v>
      </c>
      <c r="G247" s="18">
        <f t="shared" si="26"/>
        <v>2.6791554013799996</v>
      </c>
      <c r="H247" s="19">
        <v>3</v>
      </c>
      <c r="I247" s="30">
        <f t="shared" si="34"/>
        <v>0.53620143399999964</v>
      </c>
      <c r="J247" s="30">
        <f t="shared" si="35"/>
        <v>0.22390635199999975</v>
      </c>
      <c r="K247" s="30">
        <f t="shared" si="36"/>
        <v>-0.14856147600000025</v>
      </c>
      <c r="L247" s="30">
        <f t="shared" si="37"/>
        <v>0.60003832264908219</v>
      </c>
      <c r="M247" s="30">
        <f t="shared" si="38"/>
        <v>1.0570460326200002</v>
      </c>
      <c r="N247" s="30">
        <f t="shared" si="27"/>
        <v>0.73620143399999982</v>
      </c>
      <c r="O247" s="28">
        <f t="shared" si="28"/>
        <v>0.28751197782365595</v>
      </c>
      <c r="P247" s="28">
        <f t="shared" si="29"/>
        <v>5.0134054465947792E-2</v>
      </c>
      <c r="Q247" s="28">
        <f t="shared" si="30"/>
        <v>2.2070512151298651E-2</v>
      </c>
      <c r="R247" s="28">
        <f t="shared" si="31"/>
        <v>0.36004598864752407</v>
      </c>
      <c r="S247" s="28">
        <f t="shared" si="32"/>
        <v>1.1173463150776826</v>
      </c>
      <c r="T247" s="28">
        <f t="shared" si="33"/>
        <v>0.5419925514236561</v>
      </c>
    </row>
    <row r="248" spans="1:20" x14ac:dyDescent="0.2">
      <c r="A248" s="44">
        <v>43922</v>
      </c>
      <c r="B248" s="1">
        <v>3.4244720630000001</v>
      </c>
      <c r="C248" s="1">
        <v>2.9</v>
      </c>
      <c r="D248" s="1">
        <v>3.798305085</v>
      </c>
      <c r="E248" s="18">
        <f t="shared" si="25"/>
        <v>3.7362014339999998</v>
      </c>
      <c r="F248" s="18">
        <f>AVERAGE($B$4:B247)</f>
        <v>3.1386222848043976</v>
      </c>
      <c r="G248" s="18">
        <f t="shared" si="26"/>
        <v>2.6581062906599997</v>
      </c>
      <c r="H248" s="19">
        <v>3</v>
      </c>
      <c r="I248" s="30">
        <f t="shared" si="34"/>
        <v>0.52447206300000015</v>
      </c>
      <c r="J248" s="30">
        <f t="shared" si="35"/>
        <v>-0.3738330219999999</v>
      </c>
      <c r="K248" s="30">
        <f t="shared" si="36"/>
        <v>-0.31172937099999976</v>
      </c>
      <c r="L248" s="30">
        <f t="shared" si="37"/>
        <v>0.28584977819560242</v>
      </c>
      <c r="M248" s="30">
        <f t="shared" si="38"/>
        <v>0.76636577234000036</v>
      </c>
      <c r="N248" s="30">
        <f t="shared" si="27"/>
        <v>0.42447206300000007</v>
      </c>
      <c r="O248" s="28">
        <f t="shared" si="28"/>
        <v>0.27507094486747613</v>
      </c>
      <c r="P248" s="28">
        <f t="shared" si="29"/>
        <v>0.13975112833765241</v>
      </c>
      <c r="Q248" s="28">
        <f t="shared" si="30"/>
        <v>9.7175200744055487E-2</v>
      </c>
      <c r="R248" s="28">
        <f t="shared" si="31"/>
        <v>8.1710095694475099E-2</v>
      </c>
      <c r="S248" s="28">
        <f t="shared" si="32"/>
        <v>0.58731649701428523</v>
      </c>
      <c r="T248" s="28">
        <f t="shared" si="33"/>
        <v>0.18017653226747601</v>
      </c>
    </row>
    <row r="249" spans="1:20" x14ac:dyDescent="0.2">
      <c r="A249" s="44">
        <v>43952</v>
      </c>
      <c r="B249" s="1">
        <v>2.751963838</v>
      </c>
      <c r="C249" s="1">
        <v>2.5</v>
      </c>
      <c r="D249" s="1">
        <v>3.2964285709999999</v>
      </c>
      <c r="E249" s="18">
        <f t="shared" si="25"/>
        <v>3.4244720630000001</v>
      </c>
      <c r="F249" s="18">
        <f>AVERAGE($B$4:B248)</f>
        <v>3.1397890185929511</v>
      </c>
      <c r="G249" s="18">
        <f t="shared" si="26"/>
        <v>2.6323636241600004</v>
      </c>
      <c r="H249" s="19">
        <v>3</v>
      </c>
      <c r="I249" s="30">
        <f t="shared" si="34"/>
        <v>0.251963838</v>
      </c>
      <c r="J249" s="30">
        <f t="shared" si="35"/>
        <v>-0.54446473299999987</v>
      </c>
      <c r="K249" s="30">
        <f t="shared" si="36"/>
        <v>-0.67250822500000007</v>
      </c>
      <c r="L249" s="30">
        <f t="shared" si="37"/>
        <v>-0.38782518059295112</v>
      </c>
      <c r="M249" s="30">
        <f t="shared" si="38"/>
        <v>0.11960021383999964</v>
      </c>
      <c r="N249" s="30">
        <f t="shared" si="27"/>
        <v>-0.248036162</v>
      </c>
      <c r="O249" s="28">
        <f t="shared" si="28"/>
        <v>6.3485775659690241E-2</v>
      </c>
      <c r="P249" s="28">
        <f t="shared" si="29"/>
        <v>0.29644184548076113</v>
      </c>
      <c r="Q249" s="28">
        <f t="shared" si="30"/>
        <v>0.45226731269265075</v>
      </c>
      <c r="R249" s="28">
        <f t="shared" si="31"/>
        <v>0.15040837070195515</v>
      </c>
      <c r="S249" s="28">
        <f t="shared" si="32"/>
        <v>1.4304211150573641E-2</v>
      </c>
      <c r="T249" s="28">
        <f t="shared" si="33"/>
        <v>6.1521937659690246E-2</v>
      </c>
    </row>
    <row r="250" spans="1:20" x14ac:dyDescent="0.2">
      <c r="A250" s="44">
        <v>43983</v>
      </c>
      <c r="B250" s="1">
        <v>2.628031381</v>
      </c>
      <c r="C250" s="1">
        <v>2.5</v>
      </c>
      <c r="D250" s="1">
        <v>3.2269230769999999</v>
      </c>
      <c r="E250" s="18">
        <f t="shared" si="25"/>
        <v>2.751963838</v>
      </c>
      <c r="F250" s="18">
        <f>AVERAGE($B$4:B249)</f>
        <v>3.1382124934685898</v>
      </c>
      <c r="G250" s="18">
        <f t="shared" si="26"/>
        <v>2.5983620288000004</v>
      </c>
      <c r="H250" s="19">
        <v>3</v>
      </c>
      <c r="I250" s="30">
        <f t="shared" si="34"/>
        <v>0.128031381</v>
      </c>
      <c r="J250" s="30">
        <f t="shared" si="35"/>
        <v>-0.59889169599999992</v>
      </c>
      <c r="K250" s="30">
        <f t="shared" si="36"/>
        <v>-0.123932457</v>
      </c>
      <c r="L250" s="30">
        <f t="shared" si="37"/>
        <v>-0.51018111246858977</v>
      </c>
      <c r="M250" s="30">
        <f t="shared" si="38"/>
        <v>2.9669352199999555E-2</v>
      </c>
      <c r="N250" s="30">
        <f t="shared" si="27"/>
        <v>-0.371968619</v>
      </c>
      <c r="O250" s="28">
        <f t="shared" si="28"/>
        <v>1.6392034520767162E-2</v>
      </c>
      <c r="P250" s="28">
        <f t="shared" si="29"/>
        <v>0.3586712635377563</v>
      </c>
      <c r="Q250" s="28">
        <f t="shared" si="30"/>
        <v>1.5359253898056847E-2</v>
      </c>
      <c r="R250" s="28">
        <f t="shared" si="31"/>
        <v>0.26028476751968782</v>
      </c>
      <c r="S250" s="28">
        <f t="shared" si="32"/>
        <v>8.8027045996761841E-4</v>
      </c>
      <c r="T250" s="28">
        <f t="shared" si="33"/>
        <v>0.13836065352076715</v>
      </c>
    </row>
    <row r="251" spans="1:20" x14ac:dyDescent="0.2">
      <c r="A251" s="44">
        <v>44013</v>
      </c>
      <c r="B251" s="1">
        <v>2.5018113679999998</v>
      </c>
      <c r="C251" s="1">
        <v>2.5</v>
      </c>
      <c r="D251" s="1">
        <v>2.903846154</v>
      </c>
      <c r="E251" s="18">
        <f t="shared" si="25"/>
        <v>2.628031381</v>
      </c>
      <c r="F251" s="18">
        <f>AVERAGE($B$4:B250)</f>
        <v>3.1361469828917943</v>
      </c>
      <c r="G251" s="18">
        <f t="shared" si="26"/>
        <v>2.5670515693200002</v>
      </c>
      <c r="H251" s="19">
        <v>3</v>
      </c>
      <c r="I251" s="30">
        <f t="shared" si="34"/>
        <v>1.8113679999998133E-3</v>
      </c>
      <c r="J251" s="30">
        <f t="shared" si="35"/>
        <v>-0.4020347860000002</v>
      </c>
      <c r="K251" s="30">
        <f t="shared" si="36"/>
        <v>-0.12622001300000019</v>
      </c>
      <c r="L251" s="30">
        <f t="shared" si="37"/>
        <v>-0.63433561489179446</v>
      </c>
      <c r="M251" s="30">
        <f t="shared" si="38"/>
        <v>-6.5240201320000413E-2</v>
      </c>
      <c r="N251" s="30">
        <f t="shared" si="27"/>
        <v>-0.49818863200000019</v>
      </c>
      <c r="O251" s="28">
        <f t="shared" si="28"/>
        <v>3.2810540314233238E-6</v>
      </c>
      <c r="P251" s="28">
        <f t="shared" si="29"/>
        <v>0.16163196915406597</v>
      </c>
      <c r="Q251" s="28">
        <f t="shared" si="30"/>
        <v>1.5931491681720217E-2</v>
      </c>
      <c r="R251" s="28">
        <f t="shared" si="31"/>
        <v>0.40238167232015098</v>
      </c>
      <c r="S251" s="28">
        <f t="shared" si="32"/>
        <v>4.2562838682741839E-3</v>
      </c>
      <c r="T251" s="28">
        <f t="shared" si="33"/>
        <v>0.2481919130540316</v>
      </c>
    </row>
    <row r="252" spans="1:20" x14ac:dyDescent="0.2">
      <c r="A252" s="44">
        <v>44044</v>
      </c>
      <c r="B252" s="1">
        <v>2.445426635</v>
      </c>
      <c r="C252" s="1">
        <v>2.5</v>
      </c>
      <c r="D252" s="1">
        <v>2.7833333329999999</v>
      </c>
      <c r="E252" s="18">
        <f t="shared" si="25"/>
        <v>2.5018113679999998</v>
      </c>
      <c r="F252" s="18">
        <f>AVERAGE($B$4:B251)</f>
        <v>3.1335891779930365</v>
      </c>
      <c r="G252" s="18">
        <f t="shared" si="26"/>
        <v>2.5322228563400002</v>
      </c>
      <c r="H252" s="19">
        <v>3</v>
      </c>
      <c r="I252" s="30">
        <f t="shared" si="34"/>
        <v>-5.4573364999999985E-2</v>
      </c>
      <c r="J252" s="30">
        <f t="shared" si="35"/>
        <v>-0.33790669799999984</v>
      </c>
      <c r="K252" s="30">
        <f t="shared" si="36"/>
        <v>-5.6384732999999798E-2</v>
      </c>
      <c r="L252" s="30">
        <f t="shared" si="37"/>
        <v>-0.68816254299303647</v>
      </c>
      <c r="M252" s="30">
        <f t="shared" si="38"/>
        <v>-8.6796221340000201E-2</v>
      </c>
      <c r="N252" s="30">
        <f t="shared" si="27"/>
        <v>-0.55457336499999998</v>
      </c>
      <c r="O252" s="28">
        <f t="shared" si="28"/>
        <v>2.9782521674232235E-3</v>
      </c>
      <c r="P252" s="28">
        <f t="shared" si="29"/>
        <v>0.1141809365532631</v>
      </c>
      <c r="Q252" s="28">
        <f t="shared" si="30"/>
        <v>3.1792381154812661E-3</v>
      </c>
      <c r="R252" s="28">
        <f t="shared" si="31"/>
        <v>0.47356768557864276</v>
      </c>
      <c r="S252" s="28">
        <f t="shared" si="32"/>
        <v>7.5335840389023061E-3</v>
      </c>
      <c r="T252" s="28">
        <f t="shared" si="33"/>
        <v>0.30755161716742319</v>
      </c>
    </row>
    <row r="253" spans="1:20" x14ac:dyDescent="0.2">
      <c r="A253" s="44">
        <v>44075</v>
      </c>
      <c r="B253" s="1">
        <v>3.0837120859999998</v>
      </c>
      <c r="C253" s="1">
        <v>2.6</v>
      </c>
      <c r="D253" s="1">
        <v>2.8614583329999999</v>
      </c>
      <c r="E253" s="18">
        <f t="shared" si="25"/>
        <v>2.445426635</v>
      </c>
      <c r="F253" s="18">
        <f>AVERAGE($B$4:B252)</f>
        <v>3.1308254730010967</v>
      </c>
      <c r="G253" s="18">
        <f t="shared" si="26"/>
        <v>2.4969866671799998</v>
      </c>
      <c r="H253" s="19">
        <v>3</v>
      </c>
      <c r="I253" s="30">
        <f t="shared" si="34"/>
        <v>0.48371208599999971</v>
      </c>
      <c r="J253" s="30">
        <f t="shared" si="35"/>
        <v>0.22225375299999994</v>
      </c>
      <c r="K253" s="30">
        <f t="shared" si="36"/>
        <v>0.63828545099999978</v>
      </c>
      <c r="L253" s="30">
        <f t="shared" si="37"/>
        <v>-4.7113387001096907E-2</v>
      </c>
      <c r="M253" s="30">
        <f t="shared" si="38"/>
        <v>0.58672541881999996</v>
      </c>
      <c r="N253" s="30">
        <f t="shared" si="27"/>
        <v>8.3712085999999797E-2</v>
      </c>
      <c r="O253" s="28">
        <f t="shared" si="28"/>
        <v>0.2339773821424711</v>
      </c>
      <c r="P253" s="28">
        <f t="shared" si="29"/>
        <v>4.9396730722584985E-2</v>
      </c>
      <c r="Q253" s="28">
        <f t="shared" si="30"/>
        <v>0.40740831695827312</v>
      </c>
      <c r="R253" s="28">
        <f t="shared" si="31"/>
        <v>2.219671234715127E-3</v>
      </c>
      <c r="S253" s="28">
        <f t="shared" si="32"/>
        <v>0.34424671708950438</v>
      </c>
      <c r="T253" s="28">
        <f t="shared" si="33"/>
        <v>7.0077133424713616E-3</v>
      </c>
    </row>
    <row r="254" spans="1:20" x14ac:dyDescent="0.2">
      <c r="A254" s="44">
        <v>44105</v>
      </c>
      <c r="B254" s="1">
        <v>2.9564600950000002</v>
      </c>
      <c r="C254" s="1">
        <v>2.7</v>
      </c>
      <c r="D254" s="1">
        <v>2.8022988510000002</v>
      </c>
      <c r="E254" s="18">
        <f t="shared" si="25"/>
        <v>3.0837120859999998</v>
      </c>
      <c r="F254" s="18">
        <f>AVERAGE($B$4:B253)</f>
        <v>3.1306370194530921</v>
      </c>
      <c r="G254" s="18">
        <f t="shared" si="26"/>
        <v>2.4782693498200006</v>
      </c>
      <c r="H254" s="19">
        <v>3</v>
      </c>
      <c r="I254" s="30">
        <f t="shared" si="34"/>
        <v>0.256460095</v>
      </c>
      <c r="J254" s="30">
        <f t="shared" si="35"/>
        <v>0.15416124399999998</v>
      </c>
      <c r="K254" s="30">
        <f t="shared" si="36"/>
        <v>-0.12725199099999962</v>
      </c>
      <c r="L254" s="30">
        <f t="shared" si="37"/>
        <v>-0.17417692445309196</v>
      </c>
      <c r="M254" s="30">
        <f t="shared" si="38"/>
        <v>0.4781907451799996</v>
      </c>
      <c r="N254" s="30">
        <f t="shared" si="27"/>
        <v>-4.3539904999999823E-2</v>
      </c>
      <c r="O254" s="28">
        <f t="shared" si="28"/>
        <v>6.5771780327409018E-2</v>
      </c>
      <c r="P254" s="28">
        <f t="shared" si="29"/>
        <v>2.376568915162753E-2</v>
      </c>
      <c r="Q254" s="28">
        <f t="shared" si="30"/>
        <v>1.6193069213463984E-2</v>
      </c>
      <c r="R254" s="28">
        <f t="shared" si="31"/>
        <v>3.0337601011938106E-2</v>
      </c>
      <c r="S254" s="28">
        <f t="shared" si="32"/>
        <v>0.22866638877580331</v>
      </c>
      <c r="T254" s="28">
        <f t="shared" si="33"/>
        <v>1.8957233274090096E-3</v>
      </c>
    </row>
    <row r="255" spans="1:20" x14ac:dyDescent="0.2">
      <c r="A255" s="44">
        <v>44136</v>
      </c>
      <c r="B255" s="1">
        <v>2.7280128330000002</v>
      </c>
      <c r="C255" s="1">
        <v>2.9</v>
      </c>
      <c r="D255" s="1">
        <v>3.0897727270000002</v>
      </c>
      <c r="E255" s="18">
        <f t="shared" si="25"/>
        <v>2.9564600950000002</v>
      </c>
      <c r="F255" s="18">
        <f>AVERAGE($B$4:B254)</f>
        <v>3.1299430874831597</v>
      </c>
      <c r="G255" s="18">
        <f t="shared" si="26"/>
        <v>2.4699594075999998</v>
      </c>
      <c r="H255" s="19">
        <v>3</v>
      </c>
      <c r="I255" s="30">
        <f t="shared" si="34"/>
        <v>-0.17198716699999972</v>
      </c>
      <c r="J255" s="30">
        <f t="shared" si="35"/>
        <v>-0.36175989399999997</v>
      </c>
      <c r="K255" s="30">
        <f t="shared" si="36"/>
        <v>-0.22844726199999998</v>
      </c>
      <c r="L255" s="30">
        <f t="shared" si="37"/>
        <v>-0.40193025448315955</v>
      </c>
      <c r="M255" s="30">
        <f t="shared" si="38"/>
        <v>0.25805342540000042</v>
      </c>
      <c r="N255" s="30">
        <f t="shared" si="27"/>
        <v>-0.27198716699999981</v>
      </c>
      <c r="O255" s="28">
        <f t="shared" si="28"/>
        <v>2.9579585612685793E-2</v>
      </c>
      <c r="P255" s="28">
        <f t="shared" si="29"/>
        <v>0.13087022090689121</v>
      </c>
      <c r="Q255" s="28">
        <f t="shared" si="30"/>
        <v>5.2188151515296634E-2</v>
      </c>
      <c r="R255" s="28">
        <f t="shared" si="31"/>
        <v>0.1615479294688974</v>
      </c>
      <c r="S255" s="28">
        <f t="shared" si="32"/>
        <v>6.6591570360673591E-2</v>
      </c>
      <c r="T255" s="28">
        <f t="shared" si="33"/>
        <v>7.3977019012685788E-2</v>
      </c>
    </row>
    <row r="256" spans="1:20" x14ac:dyDescent="0.2">
      <c r="A256" s="44">
        <v>44166</v>
      </c>
      <c r="B256" s="1">
        <v>2.9728708990000001</v>
      </c>
      <c r="C256" s="1">
        <v>2.9</v>
      </c>
      <c r="D256" s="1">
        <v>3.149</v>
      </c>
      <c r="E256" s="18">
        <f t="shared" si="25"/>
        <v>2.7280128330000002</v>
      </c>
      <c r="F256" s="18">
        <f>AVERAGE($B$4:B255)</f>
        <v>3.1283481261558457</v>
      </c>
      <c r="G256" s="18">
        <f t="shared" si="26"/>
        <v>2.4625995959800004</v>
      </c>
      <c r="H256" s="19">
        <v>3</v>
      </c>
      <c r="I256" s="30">
        <f t="shared" si="34"/>
        <v>7.2870899000000211E-2</v>
      </c>
      <c r="J256" s="30">
        <f t="shared" si="35"/>
        <v>-0.1761291009999999</v>
      </c>
      <c r="K256" s="30">
        <f t="shared" si="36"/>
        <v>0.24485806599999993</v>
      </c>
      <c r="L256" s="30">
        <f t="shared" si="37"/>
        <v>-0.15547722715584555</v>
      </c>
      <c r="M256" s="30">
        <f t="shared" si="38"/>
        <v>0.51027130301999968</v>
      </c>
      <c r="N256" s="30">
        <f t="shared" si="27"/>
        <v>-2.7129100999999878E-2</v>
      </c>
      <c r="O256" s="28">
        <f t="shared" si="28"/>
        <v>5.3101679210682314E-3</v>
      </c>
      <c r="P256" s="28">
        <f t="shared" si="29"/>
        <v>3.1021460219068167E-2</v>
      </c>
      <c r="Q256" s="28">
        <f t="shared" si="30"/>
        <v>5.9955472485260321E-2</v>
      </c>
      <c r="R256" s="28">
        <f t="shared" si="31"/>
        <v>2.4173168164070398E-2</v>
      </c>
      <c r="S256" s="28">
        <f t="shared" si="32"/>
        <v>0.26037680268572833</v>
      </c>
      <c r="T256" s="28">
        <f t="shared" si="33"/>
        <v>7.3598812106819434E-4</v>
      </c>
    </row>
    <row r="257" spans="1:20" x14ac:dyDescent="0.2">
      <c r="A257" s="44">
        <v>44197</v>
      </c>
      <c r="B257" s="1">
        <v>3.112206333</v>
      </c>
      <c r="C257" s="1">
        <v>3</v>
      </c>
      <c r="D257" s="1">
        <v>3.0714285710000002</v>
      </c>
      <c r="E257" s="18">
        <f t="shared" si="25"/>
        <v>2.9728708990000001</v>
      </c>
      <c r="F257" s="18">
        <f>AVERAGE($B$4:B256)</f>
        <v>3.1277335916611584</v>
      </c>
      <c r="G257" s="18">
        <f t="shared" si="26"/>
        <v>2.4651085963400003</v>
      </c>
      <c r="H257" s="19">
        <v>3</v>
      </c>
      <c r="I257" s="30">
        <f t="shared" si="34"/>
        <v>0.11220633300000005</v>
      </c>
      <c r="J257" s="30">
        <f t="shared" si="35"/>
        <v>4.0777761999999829E-2</v>
      </c>
      <c r="K257" s="30">
        <f t="shared" si="36"/>
        <v>0.13933543399999992</v>
      </c>
      <c r="L257" s="30">
        <f t="shared" si="37"/>
        <v>-1.5527258661158339E-2</v>
      </c>
      <c r="M257" s="30">
        <f t="shared" si="38"/>
        <v>0.6470977366599997</v>
      </c>
      <c r="N257" s="30">
        <f t="shared" si="27"/>
        <v>0.11220633300000005</v>
      </c>
      <c r="O257" s="28">
        <f t="shared" si="28"/>
        <v>1.25902611653069E-2</v>
      </c>
      <c r="P257" s="28">
        <f t="shared" si="29"/>
        <v>1.66282587372863E-3</v>
      </c>
      <c r="Q257" s="28">
        <f t="shared" si="30"/>
        <v>1.9414363167968334E-2</v>
      </c>
      <c r="R257" s="28">
        <f t="shared" si="31"/>
        <v>2.4109576153051663E-4</v>
      </c>
      <c r="S257" s="28">
        <f t="shared" si="32"/>
        <v>0.41873548079049433</v>
      </c>
      <c r="T257" s="28">
        <f t="shared" si="33"/>
        <v>1.25902611653069E-2</v>
      </c>
    </row>
    <row r="258" spans="1:20" x14ac:dyDescent="0.2">
      <c r="A258" s="44">
        <v>44228</v>
      </c>
      <c r="B258" s="1">
        <v>2.8421620390000002</v>
      </c>
      <c r="C258" s="1">
        <v>3</v>
      </c>
      <c r="D258" s="1">
        <v>3.2366336630000001</v>
      </c>
      <c r="E258" s="18">
        <f t="shared" si="25"/>
        <v>3.112206333</v>
      </c>
      <c r="F258" s="18">
        <f>AVERAGE($B$4:B257)</f>
        <v>3.1276724607215476</v>
      </c>
      <c r="G258" s="18">
        <f t="shared" si="26"/>
        <v>2.4687684668600003</v>
      </c>
      <c r="H258" s="19">
        <v>3</v>
      </c>
      <c r="I258" s="30">
        <f t="shared" si="34"/>
        <v>-0.1578379609999998</v>
      </c>
      <c r="J258" s="30">
        <f t="shared" si="35"/>
        <v>-0.39447162399999991</v>
      </c>
      <c r="K258" s="30">
        <f t="shared" si="36"/>
        <v>-0.27004429399999985</v>
      </c>
      <c r="L258" s="30">
        <f t="shared" si="37"/>
        <v>-0.28551042172154739</v>
      </c>
      <c r="M258" s="30">
        <f t="shared" si="38"/>
        <v>0.37339357213999991</v>
      </c>
      <c r="N258" s="30">
        <f t="shared" si="27"/>
        <v>-0.1578379609999998</v>
      </c>
      <c r="O258" s="28">
        <f t="shared" si="28"/>
        <v>2.4912821932637459E-2</v>
      </c>
      <c r="P258" s="28">
        <f t="shared" si="29"/>
        <v>0.15560786214119732</v>
      </c>
      <c r="Q258" s="28">
        <f t="shared" si="30"/>
        <v>7.2923920721958357E-2</v>
      </c>
      <c r="R258" s="28">
        <f t="shared" si="31"/>
        <v>8.1516200911615835E-2</v>
      </c>
      <c r="S258" s="28">
        <f t="shared" si="32"/>
        <v>0.1394227597154693</v>
      </c>
      <c r="T258" s="28">
        <f t="shared" si="33"/>
        <v>2.4912821932637459E-2</v>
      </c>
    </row>
    <row r="259" spans="1:20" x14ac:dyDescent="0.2">
      <c r="A259" s="44">
        <v>44256</v>
      </c>
      <c r="B259" s="1">
        <v>2.8880431369999999</v>
      </c>
      <c r="C259" s="1">
        <v>3</v>
      </c>
      <c r="D259" s="1">
        <v>3.3558558559999998</v>
      </c>
      <c r="E259" s="18">
        <f t="shared" si="25"/>
        <v>2.8421620390000002</v>
      </c>
      <c r="F259" s="18">
        <f>AVERAGE($B$4:B258)</f>
        <v>3.1265528120089137</v>
      </c>
      <c r="G259" s="18">
        <f t="shared" si="26"/>
        <v>2.4714372150399999</v>
      </c>
      <c r="H259" s="19">
        <v>3</v>
      </c>
      <c r="I259" s="30">
        <f t="shared" si="34"/>
        <v>-0.11195686300000007</v>
      </c>
      <c r="J259" s="30">
        <f t="shared" si="35"/>
        <v>-0.46781271899999988</v>
      </c>
      <c r="K259" s="30">
        <f t="shared" si="36"/>
        <v>4.5881097999999731E-2</v>
      </c>
      <c r="L259" s="30">
        <f t="shared" si="37"/>
        <v>-0.23850967500891374</v>
      </c>
      <c r="M259" s="30">
        <f t="shared" si="38"/>
        <v>0.41660592196000001</v>
      </c>
      <c r="N259" s="30">
        <f t="shared" si="27"/>
        <v>-0.11195686300000007</v>
      </c>
      <c r="O259" s="28">
        <f t="shared" si="28"/>
        <v>1.2534339172800786E-2</v>
      </c>
      <c r="P259" s="28">
        <f t="shared" si="29"/>
        <v>0.21884874005817284</v>
      </c>
      <c r="Q259" s="28">
        <f t="shared" si="30"/>
        <v>2.1050751536855795E-3</v>
      </c>
      <c r="R259" s="28">
        <f t="shared" si="31"/>
        <v>5.6886865072857652E-2</v>
      </c>
      <c r="S259" s="28">
        <f t="shared" si="32"/>
        <v>0.17356049421214162</v>
      </c>
      <c r="T259" s="28">
        <f t="shared" si="33"/>
        <v>1.2534339172800786E-2</v>
      </c>
    </row>
    <row r="260" spans="1:20" x14ac:dyDescent="0.2">
      <c r="A260" s="44">
        <v>44287</v>
      </c>
      <c r="B260" s="1">
        <v>3.3179267019999998</v>
      </c>
      <c r="C260" s="1">
        <v>3</v>
      </c>
      <c r="D260" s="1">
        <v>3.395132743</v>
      </c>
      <c r="E260" s="18">
        <f t="shared" si="25"/>
        <v>2.8880431369999999</v>
      </c>
      <c r="F260" s="18">
        <f>AVERAGE($B$4:B259)</f>
        <v>3.1256211335909101</v>
      </c>
      <c r="G260" s="18">
        <f t="shared" si="26"/>
        <v>2.4736041778</v>
      </c>
      <c r="H260" s="19">
        <v>3</v>
      </c>
      <c r="I260" s="30">
        <f t="shared" si="34"/>
        <v>0.31792670199999984</v>
      </c>
      <c r="J260" s="30">
        <f t="shared" si="35"/>
        <v>-7.720604100000017E-2</v>
      </c>
      <c r="K260" s="30">
        <f t="shared" si="36"/>
        <v>0.42988356499999991</v>
      </c>
      <c r="L260" s="30">
        <f t="shared" si="37"/>
        <v>0.19230556840908974</v>
      </c>
      <c r="M260" s="30">
        <f t="shared" si="38"/>
        <v>0.84432252419999987</v>
      </c>
      <c r="N260" s="30">
        <f t="shared" si="27"/>
        <v>0.31792670199999984</v>
      </c>
      <c r="O260" s="28">
        <f t="shared" si="28"/>
        <v>0.1010773878445967</v>
      </c>
      <c r="P260" s="28">
        <f t="shared" si="29"/>
        <v>5.960772766893707E-3</v>
      </c>
      <c r="Q260" s="28">
        <f t="shared" si="30"/>
        <v>0.18479987945710916</v>
      </c>
      <c r="R260" s="28">
        <f t="shared" si="31"/>
        <v>3.6981431641143092E-2</v>
      </c>
      <c r="S260" s="28">
        <f t="shared" si="32"/>
        <v>0.71288052487145936</v>
      </c>
      <c r="T260" s="28">
        <f t="shared" si="33"/>
        <v>0.1010773878445967</v>
      </c>
    </row>
    <row r="261" spans="1:20" x14ac:dyDescent="0.2">
      <c r="A261" s="44">
        <v>44317</v>
      </c>
      <c r="B261" s="1">
        <v>3.6470434350000001</v>
      </c>
      <c r="C261" s="1">
        <v>3</v>
      </c>
      <c r="D261" s="1">
        <v>3.5</v>
      </c>
      <c r="E261" s="18">
        <f t="shared" si="25"/>
        <v>3.3179267019999998</v>
      </c>
      <c r="F261" s="18">
        <f>AVERAGE($B$4:B260)</f>
        <v>3.1263694042851089</v>
      </c>
      <c r="G261" s="18">
        <f t="shared" si="26"/>
        <v>2.4851595897399998</v>
      </c>
      <c r="H261" s="19">
        <v>3</v>
      </c>
      <c r="I261" s="30">
        <f t="shared" si="34"/>
        <v>0.64704343500000006</v>
      </c>
      <c r="J261" s="30">
        <f t="shared" si="35"/>
        <v>0.14704343500000006</v>
      </c>
      <c r="K261" s="30">
        <f t="shared" si="36"/>
        <v>0.32911673300000022</v>
      </c>
      <c r="L261" s="30">
        <f t="shared" si="37"/>
        <v>0.52067403071489116</v>
      </c>
      <c r="M261" s="30">
        <f t="shared" si="38"/>
        <v>1.1618838452600002</v>
      </c>
      <c r="N261" s="30">
        <f t="shared" si="27"/>
        <v>0.64704343500000006</v>
      </c>
      <c r="O261" s="28">
        <f t="shared" si="28"/>
        <v>0.4186652067765993</v>
      </c>
      <c r="P261" s="28">
        <f t="shared" si="29"/>
        <v>2.1621771776599241E-2</v>
      </c>
      <c r="Q261" s="28">
        <f t="shared" si="30"/>
        <v>0.10831782394059343</v>
      </c>
      <c r="R261" s="28">
        <f t="shared" si="31"/>
        <v>0.27110144626089144</v>
      </c>
      <c r="S261" s="28">
        <f t="shared" si="32"/>
        <v>1.3499740698761642</v>
      </c>
      <c r="T261" s="28">
        <f t="shared" si="33"/>
        <v>0.4186652067765993</v>
      </c>
    </row>
    <row r="262" spans="1:20" x14ac:dyDescent="0.2">
      <c r="A262" s="44">
        <v>44348</v>
      </c>
      <c r="B262" s="1">
        <v>3.804306983</v>
      </c>
      <c r="C262" s="1">
        <v>3.2</v>
      </c>
      <c r="D262" s="1">
        <v>3.5401960780000001</v>
      </c>
      <c r="E262" s="18">
        <f t="shared" si="25"/>
        <v>3.6470434350000001</v>
      </c>
      <c r="F262" s="18">
        <f>AVERAGE($B$4:B261)</f>
        <v>3.1283875206832286</v>
      </c>
      <c r="G262" s="18">
        <f t="shared" si="26"/>
        <v>2.5032381587599999</v>
      </c>
      <c r="H262" s="19">
        <v>3</v>
      </c>
      <c r="I262" s="30">
        <f t="shared" si="34"/>
        <v>0.60430698299999985</v>
      </c>
      <c r="J262" s="30">
        <f t="shared" si="35"/>
        <v>0.2641109049999999</v>
      </c>
      <c r="K262" s="30">
        <f t="shared" si="36"/>
        <v>0.15726354799999998</v>
      </c>
      <c r="L262" s="30">
        <f t="shared" si="37"/>
        <v>0.67591946231677147</v>
      </c>
      <c r="M262" s="30">
        <f t="shared" si="38"/>
        <v>1.3010688242400001</v>
      </c>
      <c r="N262" s="30">
        <f t="shared" si="27"/>
        <v>0.80430698300000003</v>
      </c>
      <c r="O262" s="28">
        <f t="shared" si="28"/>
        <v>0.36518692970256211</v>
      </c>
      <c r="P262" s="28">
        <f t="shared" si="29"/>
        <v>6.9754570139918967E-2</v>
      </c>
      <c r="Q262" s="28">
        <f t="shared" si="30"/>
        <v>2.4731823529548298E-2</v>
      </c>
      <c r="R262" s="28">
        <f t="shared" si="31"/>
        <v>0.45686711953859344</v>
      </c>
      <c r="S262" s="28">
        <f t="shared" si="32"/>
        <v>1.6927800854092563</v>
      </c>
      <c r="T262" s="28">
        <f t="shared" si="33"/>
        <v>0.64690972290256232</v>
      </c>
    </row>
    <row r="263" spans="1:20" x14ac:dyDescent="0.2">
      <c r="A263" s="44">
        <v>44378</v>
      </c>
      <c r="B263" s="1">
        <v>4.5391987560000002</v>
      </c>
      <c r="C263" s="1">
        <v>3.3</v>
      </c>
      <c r="D263" s="1">
        <v>3.6294642860000002</v>
      </c>
      <c r="E263" s="18">
        <f t="shared" si="25"/>
        <v>3.804306983</v>
      </c>
      <c r="F263" s="18">
        <f>AVERAGE($B$4:B262)</f>
        <v>3.130997248336961</v>
      </c>
      <c r="G263" s="18">
        <f t="shared" si="26"/>
        <v>2.5262343211399996</v>
      </c>
      <c r="H263" s="19">
        <v>3</v>
      </c>
      <c r="I263" s="30">
        <f t="shared" si="34"/>
        <v>1.2391987560000004</v>
      </c>
      <c r="J263" s="30">
        <f t="shared" si="35"/>
        <v>0.90973447000000007</v>
      </c>
      <c r="K263" s="30">
        <f t="shared" si="36"/>
        <v>0.73489177300000019</v>
      </c>
      <c r="L263" s="30">
        <f t="shared" si="37"/>
        <v>1.4082015076630392</v>
      </c>
      <c r="M263" s="30">
        <f t="shared" si="38"/>
        <v>2.0129644348600007</v>
      </c>
      <c r="N263" s="30">
        <f t="shared" si="27"/>
        <v>1.5391987560000002</v>
      </c>
      <c r="O263" s="28">
        <f t="shared" si="28"/>
        <v>1.5356135568719484</v>
      </c>
      <c r="P263" s="28">
        <f t="shared" si="29"/>
        <v>0.82761680590618103</v>
      </c>
      <c r="Q263" s="28">
        <f t="shared" si="30"/>
        <v>0.54006591802308379</v>
      </c>
      <c r="R263" s="28">
        <f t="shared" si="31"/>
        <v>1.9830314861844567</v>
      </c>
      <c r="S263" s="28">
        <f t="shared" si="32"/>
        <v>4.0520258160112421</v>
      </c>
      <c r="T263" s="28">
        <f t="shared" si="33"/>
        <v>2.3691328104719482</v>
      </c>
    </row>
    <row r="264" spans="1:20" x14ac:dyDescent="0.2">
      <c r="A264" s="44">
        <v>44409</v>
      </c>
      <c r="B264" s="1">
        <v>4.7764148549999996</v>
      </c>
      <c r="C264" s="1">
        <v>3.5</v>
      </c>
      <c r="D264" s="1">
        <v>3.7718446600000002</v>
      </c>
      <c r="E264" s="18">
        <f t="shared" si="25"/>
        <v>4.5391987560000002</v>
      </c>
      <c r="F264" s="18">
        <f>AVERAGE($B$4:B263)</f>
        <v>3.1364134079818191</v>
      </c>
      <c r="G264" s="18">
        <f t="shared" si="26"/>
        <v>2.5659271864799997</v>
      </c>
      <c r="H264" s="19">
        <v>3</v>
      </c>
      <c r="I264" s="30">
        <f t="shared" si="34"/>
        <v>1.2764148549999996</v>
      </c>
      <c r="J264" s="30">
        <f t="shared" si="35"/>
        <v>1.0045701949999994</v>
      </c>
      <c r="K264" s="30">
        <f t="shared" si="36"/>
        <v>0.2372160989999994</v>
      </c>
      <c r="L264" s="30">
        <f t="shared" si="37"/>
        <v>1.6400014470181805</v>
      </c>
      <c r="M264" s="30">
        <f t="shared" si="38"/>
        <v>2.2104876685199999</v>
      </c>
      <c r="N264" s="30">
        <f t="shared" si="27"/>
        <v>1.7764148549999996</v>
      </c>
      <c r="O264" s="28">
        <f t="shared" si="28"/>
        <v>1.62923488206467</v>
      </c>
      <c r="P264" s="28">
        <f t="shared" si="29"/>
        <v>1.009161276682337</v>
      </c>
      <c r="Q264" s="28">
        <f t="shared" si="30"/>
        <v>5.6271477624777515E-2</v>
      </c>
      <c r="R264" s="28">
        <f t="shared" si="31"/>
        <v>2.6896047462217259</v>
      </c>
      <c r="S264" s="28">
        <f t="shared" si="32"/>
        <v>4.8862557326789853</v>
      </c>
      <c r="T264" s="28">
        <f t="shared" si="33"/>
        <v>3.1556497370646697</v>
      </c>
    </row>
    <row r="265" spans="1:20" x14ac:dyDescent="0.2">
      <c r="A265" s="44">
        <v>44440</v>
      </c>
      <c r="B265" s="1">
        <v>5.3413926250000001</v>
      </c>
      <c r="C265" s="1">
        <v>4.3</v>
      </c>
      <c r="D265" s="1">
        <v>4.4580952380000003</v>
      </c>
      <c r="E265" s="18">
        <f t="shared" si="25"/>
        <v>4.7764148549999996</v>
      </c>
      <c r="F265" s="18">
        <f>AVERAGE($B$4:B264)</f>
        <v>3.1426969384301646</v>
      </c>
      <c r="G265" s="18">
        <f t="shared" si="26"/>
        <v>2.62750829788</v>
      </c>
      <c r="H265" s="19">
        <v>3</v>
      </c>
      <c r="I265" s="30">
        <f t="shared" si="34"/>
        <v>1.0413926250000003</v>
      </c>
      <c r="J265" s="30">
        <f t="shared" si="35"/>
        <v>0.88329738699999982</v>
      </c>
      <c r="K265" s="30">
        <f t="shared" si="36"/>
        <v>0.56497777000000049</v>
      </c>
      <c r="L265" s="30">
        <f t="shared" si="37"/>
        <v>2.1986956865698355</v>
      </c>
      <c r="M265" s="30">
        <f t="shared" si="38"/>
        <v>2.7138843271200002</v>
      </c>
      <c r="N265" s="30">
        <f t="shared" si="27"/>
        <v>2.3413926250000001</v>
      </c>
      <c r="O265" s="28">
        <f t="shared" si="28"/>
        <v>1.0844985994043912</v>
      </c>
      <c r="P265" s="28">
        <f t="shared" si="29"/>
        <v>0.78021427388102749</v>
      </c>
      <c r="Q265" s="28">
        <f t="shared" si="30"/>
        <v>0.31919988059417348</v>
      </c>
      <c r="R265" s="28">
        <f t="shared" si="31"/>
        <v>4.8342627221408003</v>
      </c>
      <c r="S265" s="28">
        <f t="shared" si="32"/>
        <v>7.365168140987576</v>
      </c>
      <c r="T265" s="28">
        <f t="shared" si="33"/>
        <v>5.4821194244043916</v>
      </c>
    </row>
    <row r="266" spans="1:20" x14ac:dyDescent="0.2">
      <c r="A266" s="44">
        <v>44470</v>
      </c>
      <c r="B266" s="1">
        <v>6.0259159760000003</v>
      </c>
      <c r="C266" s="1">
        <v>4.5</v>
      </c>
      <c r="D266" s="1">
        <v>4.7642201829999999</v>
      </c>
      <c r="E266" s="18">
        <f t="shared" si="25"/>
        <v>5.3413926250000001</v>
      </c>
      <c r="F266" s="18">
        <f>AVERAGE($B$4:B265)</f>
        <v>3.1510889066995151</v>
      </c>
      <c r="G266" s="18">
        <f t="shared" si="26"/>
        <v>2.7004055834399998</v>
      </c>
      <c r="H266" s="19">
        <v>3</v>
      </c>
      <c r="I266" s="30">
        <f t="shared" si="34"/>
        <v>1.5259159760000003</v>
      </c>
      <c r="J266" s="30">
        <f t="shared" si="35"/>
        <v>1.2616957930000003</v>
      </c>
      <c r="K266" s="30">
        <f t="shared" si="36"/>
        <v>0.68452335100000017</v>
      </c>
      <c r="L266" s="30">
        <f t="shared" si="37"/>
        <v>2.8748270693004851</v>
      </c>
      <c r="M266" s="30">
        <f t="shared" si="38"/>
        <v>3.3255103925600005</v>
      </c>
      <c r="N266" s="30">
        <f t="shared" si="27"/>
        <v>3.0259159760000003</v>
      </c>
      <c r="O266" s="28">
        <f t="shared" si="28"/>
        <v>2.3284195658120335</v>
      </c>
      <c r="P266" s="28">
        <f t="shared" si="29"/>
        <v>1.5918762740738996</v>
      </c>
      <c r="Q266" s="28">
        <f t="shared" si="30"/>
        <v>0.46857221806426941</v>
      </c>
      <c r="R266" s="28">
        <f t="shared" si="31"/>
        <v>8.264630678382817</v>
      </c>
      <c r="S266" s="28">
        <f t="shared" si="32"/>
        <v>11.059019371024569</v>
      </c>
      <c r="T266" s="28">
        <f t="shared" si="33"/>
        <v>9.1561674938120348</v>
      </c>
    </row>
    <row r="267" spans="1:20" x14ac:dyDescent="0.2">
      <c r="A267" s="44">
        <v>44501</v>
      </c>
      <c r="B267" s="1">
        <v>6.7011794350000002</v>
      </c>
      <c r="C267" s="1">
        <v>4.8</v>
      </c>
      <c r="D267" s="1">
        <v>5.4114583329999997</v>
      </c>
      <c r="E267" s="18">
        <f t="shared" si="25"/>
        <v>6.0259159760000003</v>
      </c>
      <c r="F267" s="18">
        <f>AVERAGE($B$4:B266)</f>
        <v>3.1620198081036994</v>
      </c>
      <c r="G267" s="18">
        <f t="shared" si="26"/>
        <v>2.7838771030599996</v>
      </c>
      <c r="H267" s="19">
        <v>3</v>
      </c>
      <c r="I267" s="30">
        <f t="shared" si="34"/>
        <v>1.9011794350000004</v>
      </c>
      <c r="J267" s="30">
        <f t="shared" si="35"/>
        <v>1.2897211020000006</v>
      </c>
      <c r="K267" s="30">
        <f t="shared" si="36"/>
        <v>0.67526345899999995</v>
      </c>
      <c r="L267" s="30">
        <f t="shared" si="37"/>
        <v>3.5391596268963008</v>
      </c>
      <c r="M267" s="30">
        <f t="shared" si="38"/>
        <v>3.9173023319400007</v>
      </c>
      <c r="N267" s="30">
        <f t="shared" si="27"/>
        <v>3.7011794350000002</v>
      </c>
      <c r="O267" s="28">
        <f t="shared" si="28"/>
        <v>3.6144832440669208</v>
      </c>
      <c r="P267" s="28">
        <f t="shared" si="29"/>
        <v>1.6633805209440959</v>
      </c>
      <c r="Q267" s="28">
        <f t="shared" si="30"/>
        <v>0.45598073906064462</v>
      </c>
      <c r="R267" s="28">
        <f t="shared" si="31"/>
        <v>12.525650864652762</v>
      </c>
      <c r="S267" s="28">
        <f t="shared" si="32"/>
        <v>15.345257559822567</v>
      </c>
      <c r="T267" s="28">
        <f t="shared" si="33"/>
        <v>13.69872921006692</v>
      </c>
    </row>
    <row r="268" spans="1:20" x14ac:dyDescent="0.2">
      <c r="A268" s="44">
        <v>44531</v>
      </c>
      <c r="B268" s="1">
        <v>7.1728409299999996</v>
      </c>
      <c r="C268" s="1">
        <v>4.8</v>
      </c>
      <c r="D268" s="1">
        <v>5.546391753</v>
      </c>
      <c r="E268" s="18">
        <f t="shared" si="25"/>
        <v>6.7011794350000002</v>
      </c>
      <c r="F268" s="18">
        <f>AVERAGE($B$4:B267)</f>
        <v>3.175425715781337</v>
      </c>
      <c r="G268" s="18">
        <f t="shared" si="26"/>
        <v>2.8888715412200003</v>
      </c>
      <c r="H268" s="19">
        <v>3</v>
      </c>
      <c r="I268" s="30">
        <f t="shared" si="34"/>
        <v>2.3728409299999997</v>
      </c>
      <c r="J268" s="30">
        <f t="shared" si="35"/>
        <v>1.6264491769999996</v>
      </c>
      <c r="K268" s="30">
        <f t="shared" si="36"/>
        <v>0.47166149499999932</v>
      </c>
      <c r="L268" s="30">
        <f t="shared" si="37"/>
        <v>3.9974152142186625</v>
      </c>
      <c r="M268" s="30">
        <f t="shared" si="38"/>
        <v>4.2839693887799992</v>
      </c>
      <c r="N268" s="30">
        <f t="shared" si="27"/>
        <v>4.1728409299999996</v>
      </c>
      <c r="O268" s="28">
        <f t="shared" si="28"/>
        <v>5.6303740790832633</v>
      </c>
      <c r="P268" s="28">
        <f t="shared" si="29"/>
        <v>2.645336925363976</v>
      </c>
      <c r="Q268" s="28">
        <f t="shared" si="30"/>
        <v>0.22246456586563437</v>
      </c>
      <c r="R268" s="28">
        <f t="shared" si="31"/>
        <v>15.979328394866835</v>
      </c>
      <c r="S268" s="28">
        <f t="shared" si="32"/>
        <v>18.352393724004081</v>
      </c>
      <c r="T268" s="28">
        <f t="shared" si="33"/>
        <v>17.41260142708326</v>
      </c>
    </row>
    <row r="269" spans="1:20" x14ac:dyDescent="0.2">
      <c r="A269" s="44">
        <v>44562</v>
      </c>
      <c r="B269" s="1">
        <v>7.7037331360000003</v>
      </c>
      <c r="C269" s="1">
        <v>4.7</v>
      </c>
      <c r="D269" s="1">
        <v>5.6413043480000002</v>
      </c>
      <c r="E269" s="18">
        <f t="shared" si="25"/>
        <v>7.1728409299999996</v>
      </c>
      <c r="F269" s="18">
        <f>AVERAGE($B$4:B268)</f>
        <v>3.1905103014953697</v>
      </c>
      <c r="G269" s="18">
        <f t="shared" si="26"/>
        <v>2.99477221218</v>
      </c>
      <c r="H269" s="19">
        <v>3</v>
      </c>
      <c r="I269" s="30">
        <f t="shared" si="34"/>
        <v>3.0037331360000001</v>
      </c>
      <c r="J269" s="30">
        <f t="shared" si="35"/>
        <v>2.0624287880000001</v>
      </c>
      <c r="K269" s="30">
        <f t="shared" si="36"/>
        <v>0.53089220600000075</v>
      </c>
      <c r="L269" s="30">
        <f t="shared" si="37"/>
        <v>4.5132228345046306</v>
      </c>
      <c r="M269" s="30">
        <f t="shared" si="38"/>
        <v>4.7089609238200003</v>
      </c>
      <c r="N269" s="30">
        <f t="shared" si="27"/>
        <v>4.7037331360000003</v>
      </c>
      <c r="O269" s="28">
        <f t="shared" si="28"/>
        <v>9.0224127523043958</v>
      </c>
      <c r="P269" s="28">
        <f t="shared" si="29"/>
        <v>4.2536125055711489</v>
      </c>
      <c r="Q269" s="28">
        <f t="shared" si="30"/>
        <v>0.28184653439154722</v>
      </c>
      <c r="R269" s="28">
        <f t="shared" si="31"/>
        <v>20.369180353894013</v>
      </c>
      <c r="S269" s="28">
        <f t="shared" si="32"/>
        <v>22.174312982063711</v>
      </c>
      <c r="T269" s="28">
        <f t="shared" si="33"/>
        <v>22.125105414704397</v>
      </c>
    </row>
    <row r="270" spans="1:20" x14ac:dyDescent="0.2">
      <c r="A270" s="44">
        <v>44593</v>
      </c>
      <c r="B270" s="1">
        <v>7.8155724319999997</v>
      </c>
      <c r="C270" s="1">
        <v>4.8</v>
      </c>
      <c r="D270" s="1">
        <v>5.8592233010000001</v>
      </c>
      <c r="E270" s="18">
        <f t="shared" si="25"/>
        <v>7.7037331360000003</v>
      </c>
      <c r="F270" s="18">
        <f>AVERAGE($B$4:B269)</f>
        <v>3.2074773046326048</v>
      </c>
      <c r="G270" s="18">
        <f t="shared" si="26"/>
        <v>3.1106425362600003</v>
      </c>
      <c r="H270" s="19">
        <v>3</v>
      </c>
      <c r="I270" s="30">
        <f t="shared" si="34"/>
        <v>3.0155724319999999</v>
      </c>
      <c r="J270" s="30">
        <f t="shared" si="35"/>
        <v>1.9563491309999996</v>
      </c>
      <c r="K270" s="30">
        <f t="shared" si="36"/>
        <v>0.11183929599999942</v>
      </c>
      <c r="L270" s="30">
        <f t="shared" si="37"/>
        <v>4.6080951273673953</v>
      </c>
      <c r="M270" s="30">
        <f t="shared" si="38"/>
        <v>4.7049298957399994</v>
      </c>
      <c r="N270" s="30">
        <f t="shared" si="27"/>
        <v>4.8155724319999997</v>
      </c>
      <c r="O270" s="28">
        <f t="shared" si="28"/>
        <v>9.0936770926383943</v>
      </c>
      <c r="P270" s="28">
        <f t="shared" si="29"/>
        <v>3.8273019223644535</v>
      </c>
      <c r="Q270" s="28">
        <f t="shared" si="30"/>
        <v>1.2508028129775486E-2</v>
      </c>
      <c r="R270" s="28">
        <f t="shared" si="31"/>
        <v>21.234540702867132</v>
      </c>
      <c r="S270" s="28">
        <f t="shared" si="32"/>
        <v>22.136365323828002</v>
      </c>
      <c r="T270" s="28">
        <f t="shared" si="33"/>
        <v>23.189737847838391</v>
      </c>
    </row>
    <row r="271" spans="1:20" x14ac:dyDescent="0.2">
      <c r="A271" s="44">
        <v>44621</v>
      </c>
      <c r="B271" s="1">
        <v>9.4043689169999993</v>
      </c>
      <c r="C271" s="1">
        <v>5.3</v>
      </c>
      <c r="D271" s="1">
        <v>6.5051724139999996</v>
      </c>
      <c r="E271" s="18">
        <f t="shared" si="25"/>
        <v>7.8155724319999997</v>
      </c>
      <c r="F271" s="18">
        <f>AVERAGE($B$4:B270)</f>
        <v>3.2247360878811717</v>
      </c>
      <c r="G271" s="18">
        <f t="shared" si="26"/>
        <v>3.2215621121800009</v>
      </c>
      <c r="H271" s="19">
        <v>3</v>
      </c>
      <c r="I271" s="30">
        <f t="shared" si="34"/>
        <v>4.1043689169999995</v>
      </c>
      <c r="J271" s="30">
        <f t="shared" si="35"/>
        <v>2.8991965029999998</v>
      </c>
      <c r="K271" s="30">
        <f t="shared" si="36"/>
        <v>1.5887964849999996</v>
      </c>
      <c r="L271" s="30">
        <f t="shared" si="37"/>
        <v>6.1796328291188276</v>
      </c>
      <c r="M271" s="30">
        <f t="shared" si="38"/>
        <v>6.1828068048199984</v>
      </c>
      <c r="N271" s="30">
        <f t="shared" si="27"/>
        <v>6.4043689169999993</v>
      </c>
      <c r="O271" s="28">
        <f t="shared" si="28"/>
        <v>16.84584420683575</v>
      </c>
      <c r="P271" s="28">
        <f t="shared" si="29"/>
        <v>8.4053403630074275</v>
      </c>
      <c r="Q271" s="28">
        <f t="shared" si="30"/>
        <v>2.5242742707483541</v>
      </c>
      <c r="R271" s="28">
        <f t="shared" si="31"/>
        <v>38.187861902723164</v>
      </c>
      <c r="S271" s="28">
        <f t="shared" si="32"/>
        <v>38.227099985728479</v>
      </c>
      <c r="T271" s="28">
        <f t="shared" si="33"/>
        <v>41.015941225035746</v>
      </c>
    </row>
    <row r="272" spans="1:20" x14ac:dyDescent="0.2">
      <c r="A272" s="44">
        <v>44652</v>
      </c>
      <c r="B272" s="1">
        <v>10.517528520000001</v>
      </c>
      <c r="C272" s="1">
        <v>6</v>
      </c>
      <c r="D272" s="1">
        <v>7.9401709399999998</v>
      </c>
      <c r="E272" s="18">
        <f t="shared" si="25"/>
        <v>9.4043689169999993</v>
      </c>
      <c r="F272" s="18">
        <f>AVERAGE($B$4:B271)</f>
        <v>3.2477944193331076</v>
      </c>
      <c r="G272" s="18">
        <f t="shared" si="26"/>
        <v>3.3658764757400008</v>
      </c>
      <c r="H272" s="19">
        <v>3</v>
      </c>
      <c r="I272" s="30">
        <f t="shared" si="34"/>
        <v>4.5175285200000008</v>
      </c>
      <c r="J272" s="30">
        <f t="shared" si="35"/>
        <v>2.577357580000001</v>
      </c>
      <c r="K272" s="30">
        <f t="shared" si="36"/>
        <v>1.1131596030000015</v>
      </c>
      <c r="L272" s="30">
        <f t="shared" si="37"/>
        <v>7.2697341006668932</v>
      </c>
      <c r="M272" s="30">
        <f t="shared" si="38"/>
        <v>7.1516520442600005</v>
      </c>
      <c r="N272" s="30">
        <f t="shared" si="27"/>
        <v>7.5175285200000008</v>
      </c>
      <c r="O272" s="28">
        <f t="shared" si="28"/>
        <v>20.408063929013398</v>
      </c>
      <c r="P272" s="28">
        <f t="shared" si="29"/>
        <v>6.6427720951834619</v>
      </c>
      <c r="Q272" s="28">
        <f t="shared" si="30"/>
        <v>1.2391243017511209</v>
      </c>
      <c r="R272" s="28">
        <f t="shared" si="31"/>
        <v>52.849033894399085</v>
      </c>
      <c r="S272" s="28">
        <f t="shared" si="32"/>
        <v>51.146126962168246</v>
      </c>
      <c r="T272" s="28">
        <f t="shared" si="33"/>
        <v>56.513235049013403</v>
      </c>
    </row>
    <row r="273" spans="1:20" x14ac:dyDescent="0.2">
      <c r="A273" s="44">
        <v>44682</v>
      </c>
      <c r="B273" s="1">
        <v>11.542805270000001</v>
      </c>
      <c r="C273" s="1">
        <v>6.2</v>
      </c>
      <c r="D273" s="1">
        <v>8.8008620690000008</v>
      </c>
      <c r="E273" s="18">
        <f t="shared" si="25"/>
        <v>10.517528520000001</v>
      </c>
      <c r="F273" s="18">
        <f>AVERAGE($B$4:B272)</f>
        <v>3.2748194531645831</v>
      </c>
      <c r="G273" s="18">
        <f t="shared" si="26"/>
        <v>3.5352204813200014</v>
      </c>
      <c r="H273" s="19">
        <v>3</v>
      </c>
      <c r="I273" s="30">
        <f t="shared" si="34"/>
        <v>5.3428052700000004</v>
      </c>
      <c r="J273" s="30">
        <f t="shared" si="35"/>
        <v>2.7419432009999998</v>
      </c>
      <c r="K273" s="30">
        <f t="shared" si="36"/>
        <v>1.0252767499999997</v>
      </c>
      <c r="L273" s="30">
        <f t="shared" si="37"/>
        <v>8.2679858168354166</v>
      </c>
      <c r="M273" s="30">
        <f t="shared" si="38"/>
        <v>8.0075847886799991</v>
      </c>
      <c r="N273" s="30">
        <f t="shared" si="27"/>
        <v>8.5428052700000006</v>
      </c>
      <c r="O273" s="28">
        <f t="shared" si="28"/>
        <v>28.545568153139776</v>
      </c>
      <c r="P273" s="28">
        <f t="shared" si="29"/>
        <v>7.5182525175101249</v>
      </c>
      <c r="Q273" s="28">
        <f t="shared" si="30"/>
        <v>1.051192414090562</v>
      </c>
      <c r="R273" s="28">
        <f t="shared" si="31"/>
        <v>68.359589467391615</v>
      </c>
      <c r="S273" s="28">
        <f t="shared" si="32"/>
        <v>64.121414147899301</v>
      </c>
      <c r="T273" s="28">
        <f t="shared" si="33"/>
        <v>72.979521881139789</v>
      </c>
    </row>
    <row r="274" spans="1:20" x14ac:dyDescent="0.2">
      <c r="A274" s="44">
        <v>44713</v>
      </c>
      <c r="B274" s="1">
        <v>12.49339779</v>
      </c>
      <c r="C274" s="1">
        <v>6.5</v>
      </c>
      <c r="D274" s="1">
        <v>9.5024999999999995</v>
      </c>
      <c r="E274" s="18">
        <f t="shared" si="25"/>
        <v>11.542805270000001</v>
      </c>
      <c r="F274" s="18">
        <f>AVERAGE($B$4:B273)</f>
        <v>3.3054416228565664</v>
      </c>
      <c r="G274" s="18">
        <f t="shared" si="26"/>
        <v>3.7287559513600015</v>
      </c>
      <c r="H274" s="19">
        <v>3</v>
      </c>
      <c r="I274" s="30">
        <f t="shared" si="34"/>
        <v>5.9933977899999995</v>
      </c>
      <c r="J274" s="30">
        <f t="shared" si="35"/>
        <v>2.99089779</v>
      </c>
      <c r="K274" s="30">
        <f t="shared" si="36"/>
        <v>0.95059251999999894</v>
      </c>
      <c r="L274" s="30">
        <f t="shared" si="37"/>
        <v>9.1879561671434331</v>
      </c>
      <c r="M274" s="30">
        <f t="shared" si="38"/>
        <v>8.7646418386399976</v>
      </c>
      <c r="N274" s="30">
        <f t="shared" si="27"/>
        <v>9.4933977899999995</v>
      </c>
      <c r="O274" s="28">
        <f t="shared" si="28"/>
        <v>35.920817069176877</v>
      </c>
      <c r="P274" s="28">
        <f t="shared" si="29"/>
        <v>8.9454695902268835</v>
      </c>
      <c r="Q274" s="28">
        <f t="shared" si="30"/>
        <v>0.90362613907994838</v>
      </c>
      <c r="R274" s="28">
        <f t="shared" si="31"/>
        <v>84.41853852934905</v>
      </c>
      <c r="S274" s="28">
        <f t="shared" si="32"/>
        <v>76.818946559638718</v>
      </c>
      <c r="T274" s="28">
        <f t="shared" si="33"/>
        <v>90.12460159917687</v>
      </c>
    </row>
    <row r="275" spans="1:20" x14ac:dyDescent="0.2">
      <c r="A275" s="44">
        <v>44743</v>
      </c>
      <c r="B275" s="1">
        <v>13.12472889</v>
      </c>
      <c r="C275" s="1">
        <v>7.1</v>
      </c>
      <c r="D275" s="1">
        <v>10.1110236220473</v>
      </c>
      <c r="E275" s="18">
        <f t="shared" si="25"/>
        <v>12.49339779</v>
      </c>
      <c r="F275" s="18">
        <f>AVERAGE($B$4:B274)</f>
        <v>3.3393455201522984</v>
      </c>
      <c r="G275" s="18">
        <f t="shared" si="26"/>
        <v>3.9407307091800008</v>
      </c>
      <c r="H275" s="19">
        <v>3</v>
      </c>
      <c r="I275" s="30">
        <f t="shared" si="34"/>
        <v>6.0247288900000004</v>
      </c>
      <c r="J275" s="30">
        <f t="shared" si="35"/>
        <v>3.0137052679526999</v>
      </c>
      <c r="K275" s="30">
        <f t="shared" si="36"/>
        <v>0.63133110000000059</v>
      </c>
      <c r="L275" s="30">
        <f t="shared" si="37"/>
        <v>9.7853833698477022</v>
      </c>
      <c r="M275" s="30">
        <f t="shared" si="38"/>
        <v>9.1839981808199997</v>
      </c>
      <c r="N275" s="30">
        <f t="shared" si="27"/>
        <v>10.12472889</v>
      </c>
      <c r="O275" s="28">
        <f t="shared" si="28"/>
        <v>36.297358198000637</v>
      </c>
      <c r="P275" s="28">
        <f t="shared" si="29"/>
        <v>9.0824194420858539</v>
      </c>
      <c r="Q275" s="28">
        <f t="shared" si="30"/>
        <v>0.39857895782721076</v>
      </c>
      <c r="R275" s="28">
        <f t="shared" si="31"/>
        <v>95.753727694891978</v>
      </c>
      <c r="S275" s="28">
        <f t="shared" si="32"/>
        <v>84.345822585305058</v>
      </c>
      <c r="T275" s="28">
        <f t="shared" si="33"/>
        <v>102.51013509600064</v>
      </c>
    </row>
    <row r="276" spans="1:20" x14ac:dyDescent="0.2">
      <c r="A276" s="44">
        <v>44774</v>
      </c>
      <c r="B276" s="1">
        <v>14.08466187</v>
      </c>
      <c r="C276" s="1">
        <v>7.3</v>
      </c>
      <c r="D276" s="1">
        <v>10.659523809523799</v>
      </c>
      <c r="E276" s="18">
        <f t="shared" si="25"/>
        <v>13.12472889</v>
      </c>
      <c r="F276" s="18">
        <f>AVERAGE($B$4:B275)</f>
        <v>3.3753211943061503</v>
      </c>
      <c r="G276" s="18">
        <f t="shared" si="26"/>
        <v>4.1626525717400007</v>
      </c>
      <c r="H276" s="19">
        <v>3</v>
      </c>
      <c r="I276" s="30">
        <f t="shared" ref="I276:I307" si="39">B276-C276</f>
        <v>6.7846618699999999</v>
      </c>
      <c r="J276" s="30">
        <f t="shared" ref="J276:J307" si="40">B276-D276</f>
        <v>3.4251380604762005</v>
      </c>
      <c r="K276" s="30">
        <f t="shared" ref="K276:K307" si="41">B276-E276</f>
        <v>0.9599329799999996</v>
      </c>
      <c r="L276" s="30">
        <f t="shared" ref="L276:L307" si="42">B276-F276</f>
        <v>10.709340675693849</v>
      </c>
      <c r="M276" s="30">
        <f t="shared" ref="M276:M307" si="43">B276-G276</f>
        <v>9.922009298259999</v>
      </c>
      <c r="N276" s="30">
        <f t="shared" si="27"/>
        <v>11.08466187</v>
      </c>
      <c r="O276" s="28">
        <f t="shared" si="28"/>
        <v>46.031636690231892</v>
      </c>
      <c r="P276" s="28">
        <f t="shared" si="29"/>
        <v>11.731570733322668</v>
      </c>
      <c r="Q276" s="28">
        <f t="shared" si="30"/>
        <v>0.92147132609167959</v>
      </c>
      <c r="R276" s="28">
        <f t="shared" si="31"/>
        <v>114.68997770807077</v>
      </c>
      <c r="S276" s="28">
        <f t="shared" si="32"/>
        <v>98.446268514757875</v>
      </c>
      <c r="T276" s="28">
        <f t="shared" si="33"/>
        <v>122.86972877223189</v>
      </c>
    </row>
    <row r="277" spans="1:20" x14ac:dyDescent="0.2">
      <c r="A277" s="44">
        <v>44805</v>
      </c>
      <c r="B277" s="1">
        <v>13.731331709999999</v>
      </c>
      <c r="C277" s="1">
        <v>7</v>
      </c>
      <c r="D277" s="1">
        <v>10.65</v>
      </c>
      <c r="E277" s="18">
        <f t="shared" ref="E277:E307" si="44">B276</f>
        <v>14.08466187</v>
      </c>
      <c r="F277" s="18">
        <f>AVERAGE($B$4:B276)</f>
        <v>3.4145495484295711</v>
      </c>
      <c r="G277" s="18">
        <f t="shared" ref="G277:G307" si="45">AVERAGE(B227:B276)</f>
        <v>4.3939023860800006</v>
      </c>
      <c r="H277" s="19">
        <v>3</v>
      </c>
      <c r="I277" s="30">
        <f t="shared" si="39"/>
        <v>6.7313317099999992</v>
      </c>
      <c r="J277" s="30">
        <f t="shared" si="40"/>
        <v>3.0813317099999988</v>
      </c>
      <c r="K277" s="30">
        <f t="shared" si="41"/>
        <v>-0.3533301600000005</v>
      </c>
      <c r="L277" s="30">
        <f t="shared" si="42"/>
        <v>10.316782161570428</v>
      </c>
      <c r="M277" s="30">
        <f t="shared" si="43"/>
        <v>9.3374293239199986</v>
      </c>
      <c r="N277" s="30">
        <f t="shared" ref="N277:N307" si="46">B277-H277</f>
        <v>10.731331709999999</v>
      </c>
      <c r="O277" s="28">
        <f t="shared" ref="O277:O307" si="47">I277^2</f>
        <v>45.310826590051512</v>
      </c>
      <c r="P277" s="28">
        <f t="shared" ref="P277:P307" si="48">J277^2</f>
        <v>9.4946051070515161</v>
      </c>
      <c r="Q277" s="28">
        <f t="shared" ref="Q277:Q307" si="49">K277^2</f>
        <v>0.12484220196562595</v>
      </c>
      <c r="R277" s="28">
        <f t="shared" ref="R277:R307" si="50">L277^2</f>
        <v>106.4359941692978</v>
      </c>
      <c r="S277" s="28">
        <f t="shared" ref="S277:S307" si="51">M277^2</f>
        <v>87.187586379201079</v>
      </c>
      <c r="T277" s="28">
        <f t="shared" ref="T277:T307" si="52">N277^2</f>
        <v>115.16148027005151</v>
      </c>
    </row>
    <row r="278" spans="1:20" x14ac:dyDescent="0.2">
      <c r="A278" s="44">
        <v>44835</v>
      </c>
      <c r="B278" s="1">
        <v>12.80663704</v>
      </c>
      <c r="C278" s="1">
        <v>6.3</v>
      </c>
      <c r="D278" s="1">
        <v>10.2695652173913</v>
      </c>
      <c r="E278" s="18">
        <f t="shared" si="44"/>
        <v>13.731331709999999</v>
      </c>
      <c r="F278" s="18">
        <f>AVERAGE($B$4:B277)</f>
        <v>3.4522020380703391</v>
      </c>
      <c r="G278" s="18">
        <f t="shared" si="45"/>
        <v>4.6163690686200001</v>
      </c>
      <c r="H278" s="19">
        <v>3</v>
      </c>
      <c r="I278" s="30">
        <f t="shared" si="39"/>
        <v>6.5066370400000002</v>
      </c>
      <c r="J278" s="30">
        <f t="shared" si="40"/>
        <v>2.5370718226087003</v>
      </c>
      <c r="K278" s="30">
        <f t="shared" si="41"/>
        <v>-0.92469466999999916</v>
      </c>
      <c r="L278" s="30">
        <f t="shared" si="42"/>
        <v>9.3544350019296605</v>
      </c>
      <c r="M278" s="30">
        <f t="shared" si="43"/>
        <v>8.1902679713799991</v>
      </c>
      <c r="N278" s="30">
        <f t="shared" si="46"/>
        <v>9.80663704</v>
      </c>
      <c r="O278" s="28">
        <f t="shared" si="47"/>
        <v>42.336325570299962</v>
      </c>
      <c r="P278" s="28">
        <f t="shared" si="48"/>
        <v>6.436733433075033</v>
      </c>
      <c r="Q278" s="28">
        <f t="shared" si="49"/>
        <v>0.8550602327264073</v>
      </c>
      <c r="R278" s="28">
        <f t="shared" si="50"/>
        <v>87.505454205326771</v>
      </c>
      <c r="S278" s="28">
        <f t="shared" si="51"/>
        <v>67.08048944301305</v>
      </c>
      <c r="T278" s="28">
        <f t="shared" si="52"/>
        <v>96.170130034299959</v>
      </c>
    </row>
    <row r="279" spans="1:20" x14ac:dyDescent="0.2">
      <c r="A279" s="44">
        <v>44866</v>
      </c>
      <c r="B279" s="1">
        <v>13.341456859999999</v>
      </c>
      <c r="C279" s="1">
        <v>5.8</v>
      </c>
      <c r="D279" s="1">
        <v>10.011839999999999</v>
      </c>
      <c r="E279" s="18">
        <f t="shared" si="44"/>
        <v>12.80663704</v>
      </c>
      <c r="F279" s="18">
        <f>AVERAGE($B$4:B278)</f>
        <v>3.4862181653500834</v>
      </c>
      <c r="G279" s="18">
        <f t="shared" si="45"/>
        <v>4.8227505769200008</v>
      </c>
      <c r="H279" s="19">
        <v>3</v>
      </c>
      <c r="I279" s="30">
        <f t="shared" si="39"/>
        <v>7.5414568599999994</v>
      </c>
      <c r="J279" s="30">
        <f t="shared" si="40"/>
        <v>3.3296168599999998</v>
      </c>
      <c r="K279" s="30">
        <f t="shared" si="41"/>
        <v>0.53481981999999917</v>
      </c>
      <c r="L279" s="30">
        <f t="shared" si="42"/>
        <v>9.8552386946499162</v>
      </c>
      <c r="M279" s="30">
        <f t="shared" si="43"/>
        <v>8.5187062830799984</v>
      </c>
      <c r="N279" s="30">
        <f t="shared" si="46"/>
        <v>10.341456859999999</v>
      </c>
      <c r="O279" s="28">
        <f t="shared" si="47"/>
        <v>56.873571571241051</v>
      </c>
      <c r="P279" s="28">
        <f t="shared" si="48"/>
        <v>11.086348434396259</v>
      </c>
      <c r="Q279" s="28">
        <f t="shared" si="49"/>
        <v>0.28603223986483151</v>
      </c>
      <c r="R279" s="28">
        <f t="shared" si="50"/>
        <v>97.125729728524988</v>
      </c>
      <c r="S279" s="28">
        <f t="shared" si="51"/>
        <v>72.568356737386637</v>
      </c>
      <c r="T279" s="28">
        <f t="shared" si="52"/>
        <v>106.94572998724104</v>
      </c>
    </row>
    <row r="280" spans="1:20" x14ac:dyDescent="0.2">
      <c r="A280" s="44">
        <v>44896</v>
      </c>
      <c r="B280" s="1">
        <v>12.78165415</v>
      </c>
      <c r="C280" s="1">
        <v>5.3</v>
      </c>
      <c r="D280" s="1">
        <v>9.2612068965517196</v>
      </c>
      <c r="E280" s="18">
        <f t="shared" si="44"/>
        <v>13.341456859999999</v>
      </c>
      <c r="F280" s="18">
        <f>AVERAGE($B$4:B279)</f>
        <v>3.5219255519249018</v>
      </c>
      <c r="G280" s="18">
        <f t="shared" si="45"/>
        <v>5.03258551466</v>
      </c>
      <c r="H280" s="19">
        <v>3</v>
      </c>
      <c r="I280" s="30">
        <f t="shared" si="39"/>
        <v>7.4816541499999998</v>
      </c>
      <c r="J280" s="30">
        <f t="shared" si="40"/>
        <v>3.52044725344828</v>
      </c>
      <c r="K280" s="30">
        <f t="shared" si="41"/>
        <v>-0.55980270999999959</v>
      </c>
      <c r="L280" s="30">
        <f t="shared" si="42"/>
        <v>9.2597285980750978</v>
      </c>
      <c r="M280" s="30">
        <f t="shared" si="43"/>
        <v>7.7490686353399996</v>
      </c>
      <c r="N280" s="30">
        <f t="shared" si="46"/>
        <v>9.7816541499999996</v>
      </c>
      <c r="O280" s="28">
        <f t="shared" si="47"/>
        <v>55.975148820212219</v>
      </c>
      <c r="P280" s="28">
        <f t="shared" si="48"/>
        <v>12.393548864311539</v>
      </c>
      <c r="Q280" s="28">
        <f t="shared" si="49"/>
        <v>0.31337907412334365</v>
      </c>
      <c r="R280" s="28">
        <f t="shared" si="50"/>
        <v>85.742573710009822</v>
      </c>
      <c r="S280" s="28">
        <f t="shared" si="51"/>
        <v>60.048064715210124</v>
      </c>
      <c r="T280" s="28">
        <f t="shared" si="52"/>
        <v>95.680757910212208</v>
      </c>
    </row>
    <row r="281" spans="1:20" x14ac:dyDescent="0.2">
      <c r="A281" s="44">
        <v>44927</v>
      </c>
      <c r="B281" s="1">
        <v>12.34033586</v>
      </c>
      <c r="C281" s="1">
        <v>5</v>
      </c>
      <c r="D281" s="1">
        <v>8.3818965517241395</v>
      </c>
      <c r="E281" s="18">
        <f t="shared" si="44"/>
        <v>12.78165415</v>
      </c>
      <c r="F281" s="18">
        <f>AVERAGE($B$4:B280)</f>
        <v>3.5553541750226461</v>
      </c>
      <c r="G281" s="18">
        <f t="shared" si="45"/>
        <v>5.2351241691000006</v>
      </c>
      <c r="H281" s="19">
        <v>3</v>
      </c>
      <c r="I281" s="30">
        <f t="shared" si="39"/>
        <v>7.3403358599999997</v>
      </c>
      <c r="J281" s="30">
        <f t="shared" si="40"/>
        <v>3.9584393082758602</v>
      </c>
      <c r="K281" s="30">
        <f t="shared" si="41"/>
        <v>-0.44131828999999989</v>
      </c>
      <c r="L281" s="30">
        <f t="shared" si="42"/>
        <v>8.7849816849773532</v>
      </c>
      <c r="M281" s="30">
        <f t="shared" si="43"/>
        <v>7.1052116908999992</v>
      </c>
      <c r="N281" s="30">
        <f t="shared" si="46"/>
        <v>9.3403358599999997</v>
      </c>
      <c r="O281" s="28">
        <f t="shared" si="47"/>
        <v>53.880530537601935</v>
      </c>
      <c r="P281" s="28">
        <f t="shared" si="48"/>
        <v>15.669241757303471</v>
      </c>
      <c r="Q281" s="28">
        <f t="shared" si="49"/>
        <v>0.19476183308852402</v>
      </c>
      <c r="R281" s="28">
        <f t="shared" si="50"/>
        <v>77.175903205387542</v>
      </c>
      <c r="S281" s="28">
        <f t="shared" si="51"/>
        <v>50.484033172502023</v>
      </c>
      <c r="T281" s="28">
        <f t="shared" si="52"/>
        <v>87.241873977601941</v>
      </c>
    </row>
    <row r="282" spans="1:20" x14ac:dyDescent="0.2">
      <c r="A282" s="44">
        <v>44958</v>
      </c>
      <c r="B282" s="1">
        <v>12.31319042</v>
      </c>
      <c r="C282" s="1">
        <v>5</v>
      </c>
      <c r="D282" s="1">
        <v>8.00948275862069</v>
      </c>
      <c r="E282" s="18">
        <f t="shared" si="44"/>
        <v>12.34033586</v>
      </c>
      <c r="F282" s="18">
        <f>AVERAGE($B$4:B281)</f>
        <v>3.5869548285657298</v>
      </c>
      <c r="G282" s="18">
        <f t="shared" si="45"/>
        <v>5.4323016202599987</v>
      </c>
      <c r="H282" s="19">
        <v>3</v>
      </c>
      <c r="I282" s="30">
        <f t="shared" si="39"/>
        <v>7.3131904199999997</v>
      </c>
      <c r="J282" s="30">
        <f t="shared" si="40"/>
        <v>4.3037076613793097</v>
      </c>
      <c r="K282" s="30">
        <f t="shared" si="41"/>
        <v>-2.7145439999999965E-2</v>
      </c>
      <c r="L282" s="30">
        <f t="shared" si="42"/>
        <v>8.7262355914342695</v>
      </c>
      <c r="M282" s="30">
        <f t="shared" si="43"/>
        <v>6.880888799740001</v>
      </c>
      <c r="N282" s="30">
        <f t="shared" si="46"/>
        <v>9.3131904199999997</v>
      </c>
      <c r="O282" s="28">
        <f t="shared" si="47"/>
        <v>53.482754119179774</v>
      </c>
      <c r="P282" s="28">
        <f t="shared" si="48"/>
        <v>18.521899634614968</v>
      </c>
      <c r="Q282" s="28">
        <f t="shared" si="49"/>
        <v>7.3687491279359808E-4</v>
      </c>
      <c r="R282" s="28">
        <f t="shared" si="50"/>
        <v>76.147187597214199</v>
      </c>
      <c r="S282" s="28">
        <f t="shared" si="51"/>
        <v>47.346630674387391</v>
      </c>
      <c r="T282" s="28">
        <f t="shared" si="52"/>
        <v>86.735515799179765</v>
      </c>
    </row>
    <row r="283" spans="1:20" x14ac:dyDescent="0.2">
      <c r="A283" s="44">
        <v>44986</v>
      </c>
      <c r="B283" s="1">
        <v>11.06821175</v>
      </c>
      <c r="C283" s="1">
        <v>4.8</v>
      </c>
      <c r="D283" s="1">
        <v>7.87235772357724</v>
      </c>
      <c r="E283" s="18">
        <f t="shared" si="44"/>
        <v>12.31319042</v>
      </c>
      <c r="F283" s="18">
        <f>AVERAGE($B$4:B282)</f>
        <v>3.6182316586425549</v>
      </c>
      <c r="G283" s="18">
        <f t="shared" si="45"/>
        <v>5.6357456970599991</v>
      </c>
      <c r="H283" s="19">
        <v>3</v>
      </c>
      <c r="I283" s="30">
        <f t="shared" si="39"/>
        <v>6.2682117499999999</v>
      </c>
      <c r="J283" s="30">
        <f t="shared" si="40"/>
        <v>3.1958540264227597</v>
      </c>
      <c r="K283" s="30">
        <f t="shared" si="41"/>
        <v>-1.2449786700000001</v>
      </c>
      <c r="L283" s="30">
        <f t="shared" si="42"/>
        <v>7.4499800913574443</v>
      </c>
      <c r="M283" s="30">
        <f t="shared" si="43"/>
        <v>5.4324660529400006</v>
      </c>
      <c r="N283" s="30">
        <f t="shared" si="46"/>
        <v>8.0682117499999997</v>
      </c>
      <c r="O283" s="28">
        <f t="shared" si="47"/>
        <v>39.290478542838059</v>
      </c>
      <c r="P283" s="28">
        <f t="shared" si="48"/>
        <v>10.213482958202565</v>
      </c>
      <c r="Q283" s="28">
        <f t="shared" si="49"/>
        <v>1.5499718887549692</v>
      </c>
      <c r="R283" s="28">
        <f t="shared" si="50"/>
        <v>55.502203361622271</v>
      </c>
      <c r="S283" s="28">
        <f t="shared" si="51"/>
        <v>29.511687416345509</v>
      </c>
      <c r="T283" s="28">
        <f t="shared" si="52"/>
        <v>65.09604084283805</v>
      </c>
    </row>
    <row r="284" spans="1:20" x14ac:dyDescent="0.2">
      <c r="A284" s="44">
        <v>45017</v>
      </c>
      <c r="B284" s="1">
        <v>9.8243362600000008</v>
      </c>
      <c r="C284" s="1">
        <v>4.5</v>
      </c>
      <c r="D284" s="1">
        <v>7.8264150943396196</v>
      </c>
      <c r="E284" s="18">
        <f t="shared" si="44"/>
        <v>11.06821175</v>
      </c>
      <c r="F284" s="18">
        <f>AVERAGE($B$4:B283)</f>
        <v>3.644838730397403</v>
      </c>
      <c r="G284" s="18">
        <f t="shared" si="45"/>
        <v>5.8213981028199999</v>
      </c>
      <c r="H284" s="19">
        <v>3</v>
      </c>
      <c r="I284" s="30">
        <f t="shared" si="39"/>
        <v>5.3243362600000008</v>
      </c>
      <c r="J284" s="30">
        <f t="shared" si="40"/>
        <v>1.9979211656603812</v>
      </c>
      <c r="K284" s="30">
        <f t="shared" si="41"/>
        <v>-1.2438754899999989</v>
      </c>
      <c r="L284" s="30">
        <f t="shared" si="42"/>
        <v>6.1794975296025978</v>
      </c>
      <c r="M284" s="30">
        <f t="shared" si="43"/>
        <v>4.0029381571800009</v>
      </c>
      <c r="N284" s="30">
        <f t="shared" si="46"/>
        <v>6.8243362600000008</v>
      </c>
      <c r="O284" s="28">
        <f t="shared" si="47"/>
        <v>28.348556609550798</v>
      </c>
      <c r="P284" s="28">
        <f t="shared" si="48"/>
        <v>3.9916889841937366</v>
      </c>
      <c r="Q284" s="28">
        <f t="shared" si="49"/>
        <v>1.5472262346227372</v>
      </c>
      <c r="R284" s="28">
        <f t="shared" si="50"/>
        <v>38.186189718364609</v>
      </c>
      <c r="S284" s="28">
        <f t="shared" si="51"/>
        <v>16.023513890207621</v>
      </c>
      <c r="T284" s="28">
        <f t="shared" si="52"/>
        <v>46.571565389550798</v>
      </c>
    </row>
    <row r="285" spans="1:20" x14ac:dyDescent="0.2">
      <c r="A285" s="44">
        <v>45047</v>
      </c>
      <c r="B285" s="1">
        <v>8.8722330879999998</v>
      </c>
      <c r="C285" s="1">
        <v>4.3</v>
      </c>
      <c r="D285" s="1">
        <v>7.4347457627118603</v>
      </c>
      <c r="E285" s="18">
        <f t="shared" si="44"/>
        <v>9.8243362600000008</v>
      </c>
      <c r="F285" s="18">
        <f>AVERAGE($B$4:B284)</f>
        <v>3.6668298248088007</v>
      </c>
      <c r="G285" s="18">
        <f t="shared" si="45"/>
        <v>5.9833424488999993</v>
      </c>
      <c r="H285" s="19">
        <v>3</v>
      </c>
      <c r="I285" s="30">
        <f t="shared" si="39"/>
        <v>4.5722330879999999</v>
      </c>
      <c r="J285" s="30">
        <f t="shared" si="40"/>
        <v>1.4374873252881395</v>
      </c>
      <c r="K285" s="30">
        <f t="shared" si="41"/>
        <v>-0.95210317200000105</v>
      </c>
      <c r="L285" s="30">
        <f t="shared" si="42"/>
        <v>5.2054032631911991</v>
      </c>
      <c r="M285" s="30">
        <f t="shared" si="43"/>
        <v>2.8888906391000004</v>
      </c>
      <c r="N285" s="30">
        <f t="shared" si="46"/>
        <v>5.8722330879999998</v>
      </c>
      <c r="O285" s="28">
        <f t="shared" si="47"/>
        <v>20.905315411002015</v>
      </c>
      <c r="P285" s="28">
        <f t="shared" si="48"/>
        <v>2.0663698103640495</v>
      </c>
      <c r="Q285" s="28">
        <f t="shared" si="49"/>
        <v>0.90650045013246361</v>
      </c>
      <c r="R285" s="28">
        <f t="shared" si="50"/>
        <v>27.096223132441583</v>
      </c>
      <c r="S285" s="28">
        <f t="shared" si="51"/>
        <v>8.345689124679609</v>
      </c>
      <c r="T285" s="28">
        <f t="shared" si="52"/>
        <v>34.483121439802012</v>
      </c>
    </row>
    <row r="286" spans="1:20" x14ac:dyDescent="0.2">
      <c r="A286" s="44">
        <v>45078</v>
      </c>
      <c r="B286" s="1">
        <v>7.4005333689999997</v>
      </c>
      <c r="C286" s="1">
        <v>4</v>
      </c>
      <c r="D286" s="1">
        <v>7.2504587155963298</v>
      </c>
      <c r="E286" s="18">
        <f t="shared" si="44"/>
        <v>8.8722330879999998</v>
      </c>
      <c r="F286" s="18">
        <f>AVERAGE($B$4:B285)</f>
        <v>3.685288701628628</v>
      </c>
      <c r="G286" s="18">
        <f t="shared" si="45"/>
        <v>6.1206952639000001</v>
      </c>
      <c r="H286" s="19">
        <v>3</v>
      </c>
      <c r="I286" s="30">
        <f t="shared" si="39"/>
        <v>3.4005333689999997</v>
      </c>
      <c r="J286" s="30">
        <f t="shared" si="40"/>
        <v>0.15007465340366988</v>
      </c>
      <c r="K286" s="30">
        <f t="shared" si="41"/>
        <v>-1.4716997190000001</v>
      </c>
      <c r="L286" s="30">
        <f t="shared" si="42"/>
        <v>3.7152446673713717</v>
      </c>
      <c r="M286" s="30">
        <f t="shared" si="43"/>
        <v>1.2798381050999996</v>
      </c>
      <c r="N286" s="30">
        <f t="shared" si="46"/>
        <v>4.4005333689999997</v>
      </c>
      <c r="O286" s="28">
        <f t="shared" si="47"/>
        <v>11.563627193682487</v>
      </c>
      <c r="P286" s="28">
        <f t="shared" si="48"/>
        <v>2.2522401594231644E-2</v>
      </c>
      <c r="Q286" s="28">
        <f t="shared" si="49"/>
        <v>2.165900062904679</v>
      </c>
      <c r="R286" s="28">
        <f t="shared" si="50"/>
        <v>13.803042938431414</v>
      </c>
      <c r="S286" s="28">
        <f t="shared" si="51"/>
        <v>1.6379855752659578</v>
      </c>
      <c r="T286" s="28">
        <f t="shared" si="52"/>
        <v>19.364693931682488</v>
      </c>
    </row>
    <row r="287" spans="1:20" x14ac:dyDescent="0.2">
      <c r="A287" s="44">
        <v>45108</v>
      </c>
      <c r="B287" s="1">
        <v>6.0706596130000001</v>
      </c>
      <c r="C287" s="1">
        <v>3.5</v>
      </c>
      <c r="D287" s="1">
        <v>6.8078431372549</v>
      </c>
      <c r="E287" s="18">
        <f t="shared" si="44"/>
        <v>7.4005333689999997</v>
      </c>
      <c r="F287" s="18">
        <f>AVERAGE($B$4:B286)</f>
        <v>3.6984167746582086</v>
      </c>
      <c r="G287" s="18">
        <f t="shared" si="45"/>
        <v>6.2287561244400003</v>
      </c>
      <c r="H287" s="19">
        <v>3</v>
      </c>
      <c r="I287" s="30">
        <f t="shared" si="39"/>
        <v>2.5706596130000001</v>
      </c>
      <c r="J287" s="30">
        <f t="shared" si="40"/>
        <v>-0.73718352425489986</v>
      </c>
      <c r="K287" s="30">
        <f t="shared" si="41"/>
        <v>-1.3298737559999996</v>
      </c>
      <c r="L287" s="30">
        <f t="shared" si="42"/>
        <v>2.3722428383417915</v>
      </c>
      <c r="M287" s="30">
        <f t="shared" si="43"/>
        <v>-0.15809651144000014</v>
      </c>
      <c r="N287" s="30">
        <f t="shared" si="46"/>
        <v>3.0706596130000001</v>
      </c>
      <c r="O287" s="28">
        <f t="shared" si="47"/>
        <v>6.6082908459093108</v>
      </c>
      <c r="P287" s="28">
        <f t="shared" si="48"/>
        <v>0.54343954843287456</v>
      </c>
      <c r="Q287" s="28">
        <f t="shared" si="49"/>
        <v>1.7685642068975465</v>
      </c>
      <c r="R287" s="28">
        <f t="shared" si="50"/>
        <v>5.6275360840639195</v>
      </c>
      <c r="S287" s="28">
        <f t="shared" si="51"/>
        <v>2.4994506929498096E-2</v>
      </c>
      <c r="T287" s="28">
        <f t="shared" si="52"/>
        <v>9.4289504589093109</v>
      </c>
    </row>
    <row r="288" spans="1:20" x14ac:dyDescent="0.2">
      <c r="A288" s="44">
        <v>45139</v>
      </c>
      <c r="B288" s="1">
        <v>4.9251310549999996</v>
      </c>
      <c r="C288" s="1">
        <v>3.5</v>
      </c>
      <c r="D288" s="1">
        <v>6.2148148148148099</v>
      </c>
      <c r="E288" s="18">
        <f t="shared" si="44"/>
        <v>6.0706596130000001</v>
      </c>
      <c r="F288" s="18">
        <f>AVERAGE($B$4:B287)</f>
        <v>3.706769742398849</v>
      </c>
      <c r="G288" s="18">
        <f t="shared" si="45"/>
        <v>6.3031812267199987</v>
      </c>
      <c r="H288" s="19">
        <v>3</v>
      </c>
      <c r="I288" s="30">
        <f t="shared" si="39"/>
        <v>1.4251310549999996</v>
      </c>
      <c r="J288" s="30">
        <f t="shared" si="40"/>
        <v>-1.2896837598148103</v>
      </c>
      <c r="K288" s="30">
        <f t="shared" si="41"/>
        <v>-1.1455285580000005</v>
      </c>
      <c r="L288" s="30">
        <f t="shared" si="42"/>
        <v>1.2183613126011505</v>
      </c>
      <c r="M288" s="30">
        <f t="shared" si="43"/>
        <v>-1.3780501717199991</v>
      </c>
      <c r="N288" s="30">
        <f t="shared" si="46"/>
        <v>1.9251310549999996</v>
      </c>
      <c r="O288" s="28">
        <f t="shared" si="47"/>
        <v>2.0309985239254118</v>
      </c>
      <c r="P288" s="28">
        <f t="shared" si="48"/>
        <v>1.6632842003300654</v>
      </c>
      <c r="Q288" s="28">
        <f t="shared" si="49"/>
        <v>1.3122356771935606</v>
      </c>
      <c r="R288" s="28">
        <f t="shared" si="50"/>
        <v>1.4844042880431985</v>
      </c>
      <c r="S288" s="28">
        <f t="shared" si="51"/>
        <v>1.899022275777519</v>
      </c>
      <c r="T288" s="28">
        <f t="shared" si="52"/>
        <v>3.7061295789254114</v>
      </c>
    </row>
    <row r="289" spans="1:20" x14ac:dyDescent="0.2">
      <c r="A289" s="44">
        <v>45170</v>
      </c>
      <c r="B289" s="1">
        <v>4.6869637590000002</v>
      </c>
      <c r="C289" s="1">
        <v>3.5</v>
      </c>
      <c r="D289" s="1">
        <v>6.0718181818181796</v>
      </c>
      <c r="E289" s="18">
        <f t="shared" si="44"/>
        <v>4.9251310549999996</v>
      </c>
      <c r="F289" s="18">
        <f>AVERAGE($B$4:B288)</f>
        <v>3.7110446943728883</v>
      </c>
      <c r="G289" s="18">
        <f t="shared" si="45"/>
        <v>6.3555797689199993</v>
      </c>
      <c r="H289" s="19">
        <v>3</v>
      </c>
      <c r="I289" s="30">
        <f t="shared" si="39"/>
        <v>1.1869637590000002</v>
      </c>
      <c r="J289" s="30">
        <f t="shared" si="40"/>
        <v>-1.3848544228181794</v>
      </c>
      <c r="K289" s="30">
        <f t="shared" si="41"/>
        <v>-0.23816729599999942</v>
      </c>
      <c r="L289" s="30">
        <f t="shared" si="42"/>
        <v>0.97591906462711187</v>
      </c>
      <c r="M289" s="30">
        <f t="shared" si="43"/>
        <v>-1.6686160099199991</v>
      </c>
      <c r="N289" s="30">
        <f t="shared" si="46"/>
        <v>1.6869637590000002</v>
      </c>
      <c r="O289" s="28">
        <f t="shared" si="47"/>
        <v>1.4088829651794106</v>
      </c>
      <c r="P289" s="28">
        <f t="shared" si="48"/>
        <v>1.9178217723990727</v>
      </c>
      <c r="Q289" s="28">
        <f t="shared" si="49"/>
        <v>5.6723660883951338E-2</v>
      </c>
      <c r="R289" s="28">
        <f t="shared" si="50"/>
        <v>0.95241802070265691</v>
      </c>
      <c r="S289" s="28">
        <f t="shared" si="51"/>
        <v>2.7842793885613388</v>
      </c>
      <c r="T289" s="28">
        <f t="shared" si="52"/>
        <v>2.8458467241794105</v>
      </c>
    </row>
    <row r="290" spans="1:20" x14ac:dyDescent="0.2">
      <c r="A290" s="44">
        <v>45200</v>
      </c>
      <c r="B290" s="1">
        <v>4.4535305410000001</v>
      </c>
      <c r="C290" s="1">
        <v>3.4</v>
      </c>
      <c r="D290" s="1">
        <v>5.49189189189189</v>
      </c>
      <c r="E290" s="18">
        <f t="shared" si="44"/>
        <v>4.6869637590000002</v>
      </c>
      <c r="F290" s="18">
        <f>AVERAGE($B$4:B289)</f>
        <v>3.7144569987946614</v>
      </c>
      <c r="G290" s="18">
        <f t="shared" si="45"/>
        <v>6.4052835776799988</v>
      </c>
      <c r="H290" s="19">
        <v>3</v>
      </c>
      <c r="I290" s="30">
        <f t="shared" si="39"/>
        <v>1.0535305410000002</v>
      </c>
      <c r="J290" s="30">
        <f t="shared" si="40"/>
        <v>-1.0383613508918899</v>
      </c>
      <c r="K290" s="30">
        <f t="shared" si="41"/>
        <v>-0.23343321800000005</v>
      </c>
      <c r="L290" s="30">
        <f t="shared" si="42"/>
        <v>0.73907354220533872</v>
      </c>
      <c r="M290" s="30">
        <f t="shared" si="43"/>
        <v>-1.9517530366799987</v>
      </c>
      <c r="N290" s="30">
        <f t="shared" si="46"/>
        <v>1.4535305410000001</v>
      </c>
      <c r="O290" s="28">
        <f t="shared" si="47"/>
        <v>1.109926600819753</v>
      </c>
      <c r="P290" s="28">
        <f t="shared" si="48"/>
        <v>1.0781942950260304</v>
      </c>
      <c r="Q290" s="28">
        <f t="shared" si="49"/>
        <v>5.4491067265835552E-2</v>
      </c>
      <c r="R290" s="28">
        <f t="shared" si="50"/>
        <v>0.54622970078794664</v>
      </c>
      <c r="S290" s="28">
        <f t="shared" si="51"/>
        <v>3.8093399161895962</v>
      </c>
      <c r="T290" s="28">
        <f t="shared" si="52"/>
        <v>2.112751033619753</v>
      </c>
    </row>
    <row r="291" spans="1:20" x14ac:dyDescent="0.2">
      <c r="A291" s="44">
        <v>45231</v>
      </c>
      <c r="B291" s="1">
        <v>4.2156180509999999</v>
      </c>
      <c r="C291" s="1">
        <v>3.3</v>
      </c>
      <c r="D291" s="1">
        <v>5.3509090909090897</v>
      </c>
      <c r="E291" s="18">
        <f t="shared" si="44"/>
        <v>4.4535305410000001</v>
      </c>
      <c r="F291" s="18">
        <f>AVERAGE($B$4:B290)</f>
        <v>3.7170321679312655</v>
      </c>
      <c r="G291" s="18">
        <f t="shared" si="45"/>
        <v>6.4482214753399987</v>
      </c>
      <c r="H291" s="19">
        <v>3</v>
      </c>
      <c r="I291" s="30">
        <f t="shared" si="39"/>
        <v>0.91561805100000004</v>
      </c>
      <c r="J291" s="30">
        <f t="shared" si="40"/>
        <v>-1.1352910399090899</v>
      </c>
      <c r="K291" s="30">
        <f t="shared" si="41"/>
        <v>-0.23791249000000025</v>
      </c>
      <c r="L291" s="30">
        <f t="shared" si="42"/>
        <v>0.49858588306873441</v>
      </c>
      <c r="M291" s="30">
        <f t="shared" si="43"/>
        <v>-2.2326034243399988</v>
      </c>
      <c r="N291" s="30">
        <f t="shared" si="46"/>
        <v>1.2156180509999999</v>
      </c>
      <c r="O291" s="28">
        <f t="shared" si="47"/>
        <v>0.83835641531703864</v>
      </c>
      <c r="P291" s="28">
        <f t="shared" si="48"/>
        <v>1.2888857452978626</v>
      </c>
      <c r="Q291" s="28">
        <f t="shared" si="49"/>
        <v>5.6602352898000217E-2</v>
      </c>
      <c r="R291" s="28">
        <f t="shared" si="50"/>
        <v>0.2485878827954297</v>
      </c>
      <c r="S291" s="28">
        <f t="shared" si="51"/>
        <v>4.9845180503746889</v>
      </c>
      <c r="T291" s="28">
        <f t="shared" si="52"/>
        <v>1.4777272459170383</v>
      </c>
    </row>
    <row r="292" spans="1:20" x14ac:dyDescent="0.2">
      <c r="A292" s="44">
        <v>45261</v>
      </c>
      <c r="B292" s="1">
        <v>3.37450056</v>
      </c>
      <c r="C292" s="1">
        <v>3.1</v>
      </c>
      <c r="D292" s="1">
        <v>4.5443478260869599</v>
      </c>
      <c r="E292" s="18">
        <f t="shared" si="44"/>
        <v>4.2156180509999999</v>
      </c>
      <c r="F292" s="18">
        <f>AVERAGE($B$4:B291)</f>
        <v>3.7187633689141433</v>
      </c>
      <c r="G292" s="18">
        <f t="shared" si="45"/>
        <v>6.4902716244999992</v>
      </c>
      <c r="H292" s="19">
        <v>3</v>
      </c>
      <c r="I292" s="30">
        <f t="shared" si="39"/>
        <v>0.27450055999999989</v>
      </c>
      <c r="J292" s="30">
        <f t="shared" si="40"/>
        <v>-1.1698472660869599</v>
      </c>
      <c r="K292" s="30">
        <f t="shared" si="41"/>
        <v>-0.84111749099999988</v>
      </c>
      <c r="L292" s="30">
        <f t="shared" si="42"/>
        <v>-0.34426280891414329</v>
      </c>
      <c r="M292" s="30">
        <f t="shared" si="43"/>
        <v>-3.1157710644999992</v>
      </c>
      <c r="N292" s="30">
        <f t="shared" si="46"/>
        <v>0.37450055999999998</v>
      </c>
      <c r="O292" s="28">
        <f t="shared" si="47"/>
        <v>7.5350557440313548E-2</v>
      </c>
      <c r="P292" s="28">
        <f t="shared" si="48"/>
        <v>1.3685426259711344</v>
      </c>
      <c r="Q292" s="28">
        <f t="shared" si="49"/>
        <v>0.70747863366613484</v>
      </c>
      <c r="R292" s="28">
        <f t="shared" si="50"/>
        <v>0.11851688160145595</v>
      </c>
      <c r="S292" s="28">
        <f t="shared" si="51"/>
        <v>9.708029326375458</v>
      </c>
      <c r="T292" s="28">
        <f t="shared" si="52"/>
        <v>0.14025066944031359</v>
      </c>
    </row>
    <row r="293" spans="1:20" x14ac:dyDescent="0.2">
      <c r="A293" s="44">
        <v>45292</v>
      </c>
      <c r="B293" s="1">
        <v>3.2344521240000002</v>
      </c>
      <c r="C293" s="1">
        <v>3</v>
      </c>
      <c r="D293" s="1">
        <v>4.4747747747747697</v>
      </c>
      <c r="E293" s="18">
        <f t="shared" si="44"/>
        <v>3.37450056</v>
      </c>
      <c r="F293" s="18">
        <f>AVERAGE($B$4:B292)</f>
        <v>3.7175721481220525</v>
      </c>
      <c r="G293" s="18">
        <f t="shared" si="45"/>
        <v>6.5070545889199991</v>
      </c>
      <c r="H293" s="19">
        <v>3</v>
      </c>
      <c r="I293" s="30">
        <f t="shared" si="39"/>
        <v>0.23445212400000015</v>
      </c>
      <c r="J293" s="30">
        <f t="shared" si="40"/>
        <v>-1.2403226507747696</v>
      </c>
      <c r="K293" s="30">
        <f t="shared" si="41"/>
        <v>-0.14004843599999983</v>
      </c>
      <c r="L293" s="30">
        <f t="shared" si="42"/>
        <v>-0.48312002412205235</v>
      </c>
      <c r="M293" s="30">
        <f t="shared" si="43"/>
        <v>-3.272602464919999</v>
      </c>
      <c r="N293" s="30">
        <f t="shared" si="46"/>
        <v>0.23445212400000015</v>
      </c>
      <c r="O293" s="28">
        <f t="shared" si="47"/>
        <v>5.4967798448111449E-2</v>
      </c>
      <c r="P293" s="28">
        <f t="shared" si="48"/>
        <v>1.5384002780249511</v>
      </c>
      <c r="Q293" s="28">
        <f t="shared" si="49"/>
        <v>1.9613564426046049E-2</v>
      </c>
      <c r="R293" s="28">
        <f t="shared" si="50"/>
        <v>0.23340495770769246</v>
      </c>
      <c r="S293" s="28">
        <f t="shared" si="51"/>
        <v>10.709926893400453</v>
      </c>
      <c r="T293" s="28">
        <f t="shared" si="52"/>
        <v>5.4967798448111449E-2</v>
      </c>
    </row>
    <row r="294" spans="1:20" x14ac:dyDescent="0.2">
      <c r="A294" s="44">
        <v>45323</v>
      </c>
      <c r="B294" s="1">
        <v>3.5666570000000002</v>
      </c>
      <c r="C294" s="1">
        <v>3</v>
      </c>
      <c r="D294" s="1">
        <v>4.2804347826087001</v>
      </c>
      <c r="E294" s="18">
        <f t="shared" si="44"/>
        <v>3.2344521240000002</v>
      </c>
      <c r="F294" s="18">
        <f>AVERAGE($B$4:B293)</f>
        <v>3.7159062170043899</v>
      </c>
      <c r="G294" s="18">
        <f t="shared" si="45"/>
        <v>6.5175849689799987</v>
      </c>
      <c r="H294" s="19">
        <v>3</v>
      </c>
      <c r="I294" s="30">
        <f t="shared" si="39"/>
        <v>0.56665700000000019</v>
      </c>
      <c r="J294" s="30">
        <f t="shared" si="40"/>
        <v>-0.71377778260869995</v>
      </c>
      <c r="K294" s="30">
        <f t="shared" si="41"/>
        <v>0.33220487600000004</v>
      </c>
      <c r="L294" s="30">
        <f t="shared" si="42"/>
        <v>-0.14924921700438976</v>
      </c>
      <c r="M294" s="30">
        <f t="shared" si="43"/>
        <v>-2.9509279689799985</v>
      </c>
      <c r="N294" s="30">
        <f t="shared" si="46"/>
        <v>0.56665700000000019</v>
      </c>
      <c r="O294" s="28">
        <f t="shared" si="47"/>
        <v>0.32110015564900024</v>
      </c>
      <c r="P294" s="28">
        <f t="shared" si="48"/>
        <v>0.50947872294579255</v>
      </c>
      <c r="Q294" s="28">
        <f t="shared" si="49"/>
        <v>0.1103600796381754</v>
      </c>
      <c r="R294" s="28">
        <f t="shared" si="50"/>
        <v>2.2275328776423423E-2</v>
      </c>
      <c r="S294" s="28">
        <f t="shared" si="51"/>
        <v>8.7079758781084191</v>
      </c>
      <c r="T294" s="28">
        <f t="shared" si="52"/>
        <v>0.32110015564900024</v>
      </c>
    </row>
    <row r="295" spans="1:20" x14ac:dyDescent="0.2">
      <c r="A295" s="44">
        <v>45352</v>
      </c>
      <c r="B295" s="1">
        <v>3.209628162</v>
      </c>
      <c r="C295" s="1">
        <v>3</v>
      </c>
      <c r="D295" s="1">
        <v>4.2276315789473697</v>
      </c>
      <c r="E295" s="18">
        <f t="shared" si="44"/>
        <v>3.5666570000000002</v>
      </c>
      <c r="F295" s="18">
        <f>AVERAGE($B$4:B294)</f>
        <v>3.7153933330971589</v>
      </c>
      <c r="G295" s="18">
        <f t="shared" si="45"/>
        <v>6.5289085047599986</v>
      </c>
      <c r="H295" s="19">
        <v>3</v>
      </c>
      <c r="I295" s="30">
        <f t="shared" si="39"/>
        <v>0.20962816200000001</v>
      </c>
      <c r="J295" s="30">
        <f t="shared" si="40"/>
        <v>-1.0180034169473697</v>
      </c>
      <c r="K295" s="30">
        <f t="shared" si="41"/>
        <v>-0.35702883800000018</v>
      </c>
      <c r="L295" s="30">
        <f t="shared" si="42"/>
        <v>-0.50576517109715891</v>
      </c>
      <c r="M295" s="30">
        <f t="shared" si="43"/>
        <v>-3.3192803427599986</v>
      </c>
      <c r="N295" s="30">
        <f t="shared" si="46"/>
        <v>0.20962816200000001</v>
      </c>
      <c r="O295" s="28">
        <f t="shared" si="47"/>
        <v>4.3943966303498248E-2</v>
      </c>
      <c r="P295" s="28">
        <f t="shared" si="48"/>
        <v>1.0363309569165202</v>
      </c>
      <c r="Q295" s="28">
        <f t="shared" si="49"/>
        <v>0.12746959116363038</v>
      </c>
      <c r="R295" s="28">
        <f t="shared" si="50"/>
        <v>0.25579840829493844</v>
      </c>
      <c r="S295" s="28">
        <f t="shared" si="51"/>
        <v>11.017621993832934</v>
      </c>
      <c r="T295" s="28">
        <f t="shared" si="52"/>
        <v>4.3943966303498248E-2</v>
      </c>
    </row>
    <row r="296" spans="1:20" x14ac:dyDescent="0.2">
      <c r="A296" s="44">
        <v>45383</v>
      </c>
      <c r="B296" s="1">
        <v>3.4821209392144001</v>
      </c>
      <c r="C296" s="1">
        <v>3.1</v>
      </c>
      <c r="D296" s="1">
        <v>4.3207920792079202</v>
      </c>
      <c r="E296" s="18">
        <f t="shared" si="44"/>
        <v>3.209628162</v>
      </c>
      <c r="F296" s="18">
        <f>AVERAGE($B$4:B295)</f>
        <v>3.7136612605934012</v>
      </c>
      <c r="G296" s="18">
        <f t="shared" si="45"/>
        <v>6.5237242988999995</v>
      </c>
      <c r="H296" s="19">
        <v>3</v>
      </c>
      <c r="I296" s="30">
        <f t="shared" si="39"/>
        <v>0.38212093921440005</v>
      </c>
      <c r="J296" s="30">
        <f t="shared" si="40"/>
        <v>-0.83867113999352005</v>
      </c>
      <c r="K296" s="30">
        <f t="shared" si="41"/>
        <v>0.27249277721440013</v>
      </c>
      <c r="L296" s="30">
        <f t="shared" si="42"/>
        <v>-0.23154032137900105</v>
      </c>
      <c r="M296" s="30">
        <f t="shared" si="43"/>
        <v>-3.0416033596855994</v>
      </c>
      <c r="N296" s="30">
        <f t="shared" si="46"/>
        <v>0.48212093921440013</v>
      </c>
      <c r="O296" s="28">
        <f t="shared" si="47"/>
        <v>0.14601641218609521</v>
      </c>
      <c r="P296" s="28">
        <f t="shared" si="48"/>
        <v>0.70336928105803054</v>
      </c>
      <c r="Q296" s="28">
        <f t="shared" si="49"/>
        <v>7.4252313634016701E-2</v>
      </c>
      <c r="R296" s="28">
        <f t="shared" si="50"/>
        <v>5.3610920424291088E-2</v>
      </c>
      <c r="S296" s="28">
        <f t="shared" si="51"/>
        <v>9.2513509976507251</v>
      </c>
      <c r="T296" s="28">
        <f t="shared" si="52"/>
        <v>0.23244060002897532</v>
      </c>
    </row>
    <row r="297" spans="1:20" x14ac:dyDescent="0.2">
      <c r="A297" s="44">
        <v>45413</v>
      </c>
      <c r="B297" s="1">
        <v>3.4222492766591999</v>
      </c>
      <c r="C297" s="1">
        <v>3.2</v>
      </c>
      <c r="D297" s="1">
        <v>4.34255319148936</v>
      </c>
      <c r="E297" s="18">
        <f t="shared" si="44"/>
        <v>3.4821209392144001</v>
      </c>
      <c r="F297" s="18">
        <f>AVERAGE($B$4:B296)</f>
        <v>3.7128710205886946</v>
      </c>
      <c r="G297" s="18">
        <f t="shared" si="45"/>
        <v>6.5156714594842864</v>
      </c>
      <c r="H297" s="19">
        <v>3</v>
      </c>
      <c r="I297" s="30">
        <f t="shared" si="39"/>
        <v>0.22224927665919969</v>
      </c>
      <c r="J297" s="30">
        <f t="shared" si="40"/>
        <v>-0.92030391483016016</v>
      </c>
      <c r="K297" s="30">
        <f t="shared" si="41"/>
        <v>-5.9871662555200267E-2</v>
      </c>
      <c r="L297" s="30">
        <f t="shared" si="42"/>
        <v>-0.29062174392949469</v>
      </c>
      <c r="M297" s="30">
        <f t="shared" si="43"/>
        <v>-3.0934221828250865</v>
      </c>
      <c r="N297" s="30">
        <f t="shared" si="46"/>
        <v>0.42224927665919987</v>
      </c>
      <c r="O297" s="28">
        <f t="shared" si="47"/>
        <v>4.9394740975537484E-2</v>
      </c>
      <c r="P297" s="28">
        <f t="shared" si="48"/>
        <v>0.84695929565171868</v>
      </c>
      <c r="Q297" s="28">
        <f t="shared" si="49"/>
        <v>3.5846159771237697E-3</v>
      </c>
      <c r="R297" s="28">
        <f t="shared" si="50"/>
        <v>8.4460998044620789E-2</v>
      </c>
      <c r="S297" s="28">
        <f t="shared" si="51"/>
        <v>9.5692608011943232</v>
      </c>
      <c r="T297" s="28">
        <f t="shared" si="52"/>
        <v>0.1782944516392175</v>
      </c>
    </row>
    <row r="298" spans="1:20" x14ac:dyDescent="0.2">
      <c r="A298" s="44">
        <v>45444</v>
      </c>
      <c r="B298" s="1">
        <v>3.7778068406444998</v>
      </c>
      <c r="C298" s="1">
        <v>3.2</v>
      </c>
      <c r="D298" s="1">
        <v>4.3369999999999997</v>
      </c>
      <c r="E298" s="18">
        <f t="shared" si="44"/>
        <v>3.4222492766591999</v>
      </c>
      <c r="F298" s="18">
        <f>AVERAGE($B$4:B297)</f>
        <v>3.7118825112556011</v>
      </c>
      <c r="G298" s="18">
        <f t="shared" si="45"/>
        <v>6.5093924163374712</v>
      </c>
      <c r="H298" s="19">
        <v>3</v>
      </c>
      <c r="I298" s="30">
        <f t="shared" si="39"/>
        <v>0.57780684064449961</v>
      </c>
      <c r="J298" s="30">
        <f t="shared" si="40"/>
        <v>-0.55919315935549996</v>
      </c>
      <c r="K298" s="30">
        <f t="shared" si="41"/>
        <v>0.35555756398529992</v>
      </c>
      <c r="L298" s="30">
        <f t="shared" si="42"/>
        <v>6.5924329388898695E-2</v>
      </c>
      <c r="M298" s="30">
        <f t="shared" si="43"/>
        <v>-2.7315855756929714</v>
      </c>
      <c r="N298" s="30">
        <f t="shared" si="46"/>
        <v>0.77780684064449979</v>
      </c>
      <c r="O298" s="28">
        <f t="shared" si="47"/>
        <v>0.33386074509557817</v>
      </c>
      <c r="P298" s="28">
        <f t="shared" si="48"/>
        <v>0.31269698946998559</v>
      </c>
      <c r="Q298" s="28">
        <f t="shared" si="49"/>
        <v>0.12642118130716065</v>
      </c>
      <c r="R298" s="28">
        <f t="shared" si="50"/>
        <v>4.346017205376012E-3</v>
      </c>
      <c r="S298" s="28">
        <f t="shared" si="51"/>
        <v>7.4615597573339025</v>
      </c>
      <c r="T298" s="28">
        <f t="shared" si="52"/>
        <v>0.60498348135337832</v>
      </c>
    </row>
    <row r="299" spans="1:20" x14ac:dyDescent="0.2">
      <c r="A299" s="44">
        <v>45474</v>
      </c>
      <c r="B299" s="1">
        <v>4.4173706708868998</v>
      </c>
      <c r="C299" s="1">
        <v>3.6</v>
      </c>
      <c r="D299" s="1">
        <v>4.2091503267973902</v>
      </c>
      <c r="E299" s="18">
        <f t="shared" si="44"/>
        <v>3.7778068406444998</v>
      </c>
      <c r="F299" s="18">
        <f>AVERAGE($B$4:B298)</f>
        <v>3.7121059835586139</v>
      </c>
      <c r="G299" s="18">
        <f t="shared" si="45"/>
        <v>6.5164591118903603</v>
      </c>
      <c r="H299" s="19">
        <v>3</v>
      </c>
      <c r="I299" s="30">
        <f t="shared" si="39"/>
        <v>0.81737067088689974</v>
      </c>
      <c r="J299" s="30">
        <f t="shared" si="40"/>
        <v>0.20822034408950962</v>
      </c>
      <c r="K299" s="30">
        <f t="shared" si="41"/>
        <v>0.63956383024240004</v>
      </c>
      <c r="L299" s="30">
        <f t="shared" si="42"/>
        <v>0.70526468732828596</v>
      </c>
      <c r="M299" s="30">
        <f t="shared" si="43"/>
        <v>-2.0990884410034605</v>
      </c>
      <c r="N299" s="30">
        <f t="shared" si="46"/>
        <v>1.4173706708868998</v>
      </c>
      <c r="O299" s="28">
        <f t="shared" si="47"/>
        <v>0.66809481362610057</v>
      </c>
      <c r="P299" s="28">
        <f t="shared" si="48"/>
        <v>4.3355711692753783E-2</v>
      </c>
      <c r="Q299" s="28">
        <f t="shared" si="49"/>
        <v>0.40904189295432952</v>
      </c>
      <c r="R299" s="28">
        <f t="shared" si="50"/>
        <v>0.49739827919226492</v>
      </c>
      <c r="S299" s="28">
        <f t="shared" si="51"/>
        <v>4.406172283154338</v>
      </c>
      <c r="T299" s="28">
        <f t="shared" si="52"/>
        <v>2.0089396186903805</v>
      </c>
    </row>
    <row r="300" spans="1:20" x14ac:dyDescent="0.2">
      <c r="A300" s="44">
        <v>45505</v>
      </c>
      <c r="B300" s="1">
        <v>4.5609002268768002</v>
      </c>
      <c r="C300" s="1">
        <v>3.8</v>
      </c>
      <c r="D300" s="1">
        <v>4.3973856209150304</v>
      </c>
      <c r="E300" s="18">
        <f t="shared" si="44"/>
        <v>4.4173706708868998</v>
      </c>
      <c r="F300" s="18">
        <f>AVERAGE($B$4:B299)</f>
        <v>3.7144886345293173</v>
      </c>
      <c r="G300" s="18">
        <f t="shared" si="45"/>
        <v>6.5497672485480987</v>
      </c>
      <c r="H300" s="19">
        <v>3</v>
      </c>
      <c r="I300" s="30">
        <f t="shared" si="39"/>
        <v>0.76090022687680037</v>
      </c>
      <c r="J300" s="30">
        <f t="shared" si="40"/>
        <v>0.16351460596176981</v>
      </c>
      <c r="K300" s="30">
        <f t="shared" si="41"/>
        <v>0.14352955598990036</v>
      </c>
      <c r="L300" s="30">
        <f t="shared" si="42"/>
        <v>0.84641159234748287</v>
      </c>
      <c r="M300" s="30">
        <f t="shared" si="43"/>
        <v>-1.9888670216712985</v>
      </c>
      <c r="N300" s="30">
        <f t="shared" si="46"/>
        <v>1.5609002268768002</v>
      </c>
      <c r="O300" s="28">
        <f t="shared" si="47"/>
        <v>0.57896915526116632</v>
      </c>
      <c r="P300" s="28">
        <f t="shared" si="48"/>
        <v>2.6737026362832848E-2</v>
      </c>
      <c r="Q300" s="28">
        <f t="shared" si="49"/>
        <v>2.0600733442657941E-2</v>
      </c>
      <c r="R300" s="28">
        <f t="shared" si="50"/>
        <v>0.71641258366020155</v>
      </c>
      <c r="S300" s="28">
        <f t="shared" si="51"/>
        <v>3.9555920298916614</v>
      </c>
      <c r="T300" s="28">
        <f t="shared" si="52"/>
        <v>2.4364095182640462</v>
      </c>
    </row>
    <row r="301" spans="1:20" x14ac:dyDescent="0.2">
      <c r="A301" s="44">
        <v>45536</v>
      </c>
      <c r="B301" s="1">
        <v>3.9917311074259998</v>
      </c>
      <c r="C301" s="1">
        <v>3.8</v>
      </c>
      <c r="D301" s="1">
        <v>4.4731249999999996</v>
      </c>
      <c r="E301" s="18">
        <f t="shared" si="44"/>
        <v>4.5609002268768002</v>
      </c>
      <c r="F301" s="18">
        <f>AVERAGE($B$4:B300)</f>
        <v>3.717338505210622</v>
      </c>
      <c r="G301" s="18">
        <f t="shared" si="45"/>
        <v>6.5884246254656356</v>
      </c>
      <c r="H301" s="19">
        <v>3</v>
      </c>
      <c r="I301" s="30">
        <f t="shared" si="39"/>
        <v>0.19173110742599997</v>
      </c>
      <c r="J301" s="30">
        <f t="shared" si="40"/>
        <v>-0.48139389257399978</v>
      </c>
      <c r="K301" s="30">
        <f t="shared" si="41"/>
        <v>-0.5691691194508004</v>
      </c>
      <c r="L301" s="30">
        <f t="shared" si="42"/>
        <v>0.27439260221537776</v>
      </c>
      <c r="M301" s="30">
        <f t="shared" si="43"/>
        <v>-2.5966935180396358</v>
      </c>
      <c r="N301" s="30">
        <f t="shared" si="46"/>
        <v>0.99173110742599979</v>
      </c>
      <c r="O301" s="28">
        <f t="shared" si="47"/>
        <v>3.6760817554800339E-2</v>
      </c>
      <c r="P301" s="28">
        <f t="shared" si="48"/>
        <v>0.23174007980754766</v>
      </c>
      <c r="Q301" s="28">
        <f t="shared" si="49"/>
        <v>0.32395348653639949</v>
      </c>
      <c r="R301" s="28">
        <f t="shared" si="50"/>
        <v>7.5291300150526527E-2</v>
      </c>
      <c r="S301" s="28">
        <f t="shared" si="51"/>
        <v>6.74281722662906</v>
      </c>
      <c r="T301" s="28">
        <f t="shared" si="52"/>
        <v>0.98353058943639993</v>
      </c>
    </row>
    <row r="302" spans="1:20" x14ac:dyDescent="0.2">
      <c r="A302" s="44">
        <v>45566</v>
      </c>
      <c r="B302" s="1">
        <v>4.6984342929578</v>
      </c>
      <c r="C302" s="1">
        <v>3.7</v>
      </c>
      <c r="D302" s="1">
        <v>4.3389221556886204</v>
      </c>
      <c r="E302" s="18">
        <f t="shared" si="44"/>
        <v>3.9917311074259998</v>
      </c>
      <c r="F302" s="18">
        <f>AVERAGE($B$4:B301)</f>
        <v>3.7182592857549688</v>
      </c>
      <c r="G302" s="18">
        <f t="shared" si="45"/>
        <v>6.6182230202541552</v>
      </c>
      <c r="H302" s="19">
        <v>3</v>
      </c>
      <c r="I302" s="30">
        <f t="shared" si="39"/>
        <v>0.99843429295779984</v>
      </c>
      <c r="J302" s="30">
        <f t="shared" si="40"/>
        <v>0.35951213726917963</v>
      </c>
      <c r="K302" s="30">
        <f t="shared" si="41"/>
        <v>0.70670318553180023</v>
      </c>
      <c r="L302" s="30">
        <f t="shared" si="42"/>
        <v>0.98017500720283124</v>
      </c>
      <c r="M302" s="30">
        <f t="shared" si="43"/>
        <v>-1.9197887272963552</v>
      </c>
      <c r="N302" s="30">
        <f t="shared" si="46"/>
        <v>1.6984342929578</v>
      </c>
      <c r="O302" s="28">
        <f t="shared" si="47"/>
        <v>0.99687103735414173</v>
      </c>
      <c r="P302" s="28">
        <f t="shared" si="48"/>
        <v>0.12924897684385345</v>
      </c>
      <c r="Q302" s="28">
        <f t="shared" si="49"/>
        <v>0.49942939244079404</v>
      </c>
      <c r="R302" s="28">
        <f t="shared" si="50"/>
        <v>0.96074304474507022</v>
      </c>
      <c r="S302" s="28">
        <f t="shared" si="51"/>
        <v>3.685588757454159</v>
      </c>
      <c r="T302" s="28">
        <f t="shared" si="52"/>
        <v>2.8846790474950619</v>
      </c>
    </row>
    <row r="303" spans="1:20" x14ac:dyDescent="0.2">
      <c r="A303" s="44">
        <v>45597</v>
      </c>
      <c r="B303" s="1">
        <v>4.1841311531557999</v>
      </c>
      <c r="C303" s="1">
        <v>3.6</v>
      </c>
      <c r="D303" s="1">
        <v>4.2837500000000004</v>
      </c>
      <c r="E303" s="18">
        <f t="shared" si="44"/>
        <v>4.6984342929578</v>
      </c>
      <c r="F303" s="18">
        <f>AVERAGE($B$4:B302)</f>
        <v>3.7215374630365834</v>
      </c>
      <c r="G303" s="18">
        <f t="shared" si="45"/>
        <v>6.663283173413312</v>
      </c>
      <c r="H303" s="19">
        <v>3</v>
      </c>
      <c r="I303" s="30">
        <f t="shared" si="39"/>
        <v>0.58413115315579978</v>
      </c>
      <c r="J303" s="30">
        <f t="shared" si="40"/>
        <v>-9.9618846844200526E-2</v>
      </c>
      <c r="K303" s="30">
        <f t="shared" si="41"/>
        <v>-0.51430313980200015</v>
      </c>
      <c r="L303" s="30">
        <f t="shared" si="42"/>
        <v>0.46259369011921647</v>
      </c>
      <c r="M303" s="30">
        <f t="shared" si="43"/>
        <v>-2.4791520202575121</v>
      </c>
      <c r="N303" s="30">
        <f t="shared" si="46"/>
        <v>1.1841311531557999</v>
      </c>
      <c r="O303" s="28">
        <f t="shared" si="47"/>
        <v>0.34120920408712441</v>
      </c>
      <c r="P303" s="28">
        <f t="shared" si="48"/>
        <v>9.9239146465682805E-3</v>
      </c>
      <c r="Q303" s="28">
        <f t="shared" si="49"/>
        <v>0.2645077196101957</v>
      </c>
      <c r="R303" s="28">
        <f t="shared" si="50"/>
        <v>0.21399292213811366</v>
      </c>
      <c r="S303" s="28">
        <f t="shared" si="51"/>
        <v>6.1461947395469041</v>
      </c>
      <c r="T303" s="28">
        <f t="shared" si="52"/>
        <v>1.4021665878740843</v>
      </c>
    </row>
    <row r="304" spans="1:20" x14ac:dyDescent="0.2">
      <c r="A304" s="44">
        <v>45627</v>
      </c>
      <c r="B304" s="1">
        <v>4.5271651727949997</v>
      </c>
      <c r="C304" s="1">
        <v>3.6</v>
      </c>
      <c r="D304" s="1">
        <v>4.1993710691823898</v>
      </c>
      <c r="E304" s="18">
        <f t="shared" si="44"/>
        <v>4.1841311531557999</v>
      </c>
      <c r="F304" s="18">
        <f>AVERAGE($B$4:B303)</f>
        <v>3.7230794420036468</v>
      </c>
      <c r="G304" s="18">
        <f t="shared" si="45"/>
        <v>6.6852915547564287</v>
      </c>
      <c r="H304" s="19">
        <v>3</v>
      </c>
      <c r="I304" s="30">
        <f t="shared" si="39"/>
        <v>0.92716517279499966</v>
      </c>
      <c r="J304" s="30">
        <f t="shared" si="40"/>
        <v>0.32779410361260997</v>
      </c>
      <c r="K304" s="30">
        <f t="shared" si="41"/>
        <v>0.34303401963919988</v>
      </c>
      <c r="L304" s="30">
        <f t="shared" si="42"/>
        <v>0.80408573079135293</v>
      </c>
      <c r="M304" s="30">
        <f t="shared" si="43"/>
        <v>-2.1581263819614289</v>
      </c>
      <c r="N304" s="30">
        <f t="shared" si="46"/>
        <v>1.5271651727949997</v>
      </c>
      <c r="O304" s="28">
        <f t="shared" si="47"/>
        <v>0.85963525764398152</v>
      </c>
      <c r="P304" s="28">
        <f t="shared" si="48"/>
        <v>0.10744897436319448</v>
      </c>
      <c r="Q304" s="28">
        <f t="shared" si="49"/>
        <v>0.11767233862982697</v>
      </c>
      <c r="R304" s="28">
        <f t="shared" si="50"/>
        <v>0.6465538624622641</v>
      </c>
      <c r="S304" s="28">
        <f t="shared" si="51"/>
        <v>4.6575094805179278</v>
      </c>
      <c r="T304" s="28">
        <f t="shared" si="52"/>
        <v>2.3322334649979815</v>
      </c>
    </row>
    <row r="305" spans="1:20" x14ac:dyDescent="0.2">
      <c r="A305" s="44">
        <v>45658</v>
      </c>
      <c r="B305" s="1">
        <v>4.9415503834856001</v>
      </c>
      <c r="C305" s="1">
        <v>3.8</v>
      </c>
      <c r="D305" s="1">
        <v>4.2689440993788796</v>
      </c>
      <c r="E305" s="18">
        <f t="shared" si="44"/>
        <v>4.5271651727949997</v>
      </c>
      <c r="F305" s="18">
        <f>AVERAGE($B$4:B304)</f>
        <v>3.7257508231690672</v>
      </c>
      <c r="G305" s="18">
        <f t="shared" si="45"/>
        <v>6.7167056563123273</v>
      </c>
      <c r="H305" s="19">
        <v>3</v>
      </c>
      <c r="I305" s="30">
        <f t="shared" si="39"/>
        <v>1.1415503834856002</v>
      </c>
      <c r="J305" s="30">
        <f t="shared" si="40"/>
        <v>0.67260628410672041</v>
      </c>
      <c r="K305" s="30">
        <f t="shared" si="41"/>
        <v>0.4143852106906003</v>
      </c>
      <c r="L305" s="30">
        <f t="shared" si="42"/>
        <v>1.2157995603165328</v>
      </c>
      <c r="M305" s="30">
        <f t="shared" si="43"/>
        <v>-1.7751552728267272</v>
      </c>
      <c r="N305" s="30">
        <f t="shared" si="46"/>
        <v>1.9415503834856001</v>
      </c>
      <c r="O305" s="28">
        <f t="shared" si="47"/>
        <v>1.303137278036121</v>
      </c>
      <c r="P305" s="28">
        <f t="shared" si="48"/>
        <v>0.45239921341985029</v>
      </c>
      <c r="Q305" s="28">
        <f t="shared" si="49"/>
        <v>0.17171510283909319</v>
      </c>
      <c r="R305" s="28">
        <f t="shared" si="50"/>
        <v>1.4781685708658745</v>
      </c>
      <c r="S305" s="28">
        <f t="shared" si="51"/>
        <v>3.1511762426445324</v>
      </c>
      <c r="T305" s="28">
        <f t="shared" si="52"/>
        <v>3.7696178916130805</v>
      </c>
    </row>
    <row r="306" spans="1:20" x14ac:dyDescent="0.2">
      <c r="A306" s="44">
        <v>45689</v>
      </c>
      <c r="B306" s="1">
        <v>4.7383011500194003</v>
      </c>
      <c r="C306" s="1">
        <v>3.6</v>
      </c>
      <c r="D306" s="1">
        <v>4.2895522388059701</v>
      </c>
      <c r="E306" s="18">
        <f t="shared" si="44"/>
        <v>4.9415503834856001</v>
      </c>
      <c r="F306" s="18">
        <f>AVERAGE($B$4:B305)</f>
        <v>3.7297766495277309</v>
      </c>
      <c r="G306" s="18">
        <f t="shared" si="45"/>
        <v>6.7609764073220386</v>
      </c>
      <c r="H306" s="19">
        <v>3</v>
      </c>
      <c r="I306" s="30">
        <f t="shared" si="39"/>
        <v>1.1383011500194002</v>
      </c>
      <c r="J306" s="30">
        <f t="shared" si="40"/>
        <v>0.44874891121343019</v>
      </c>
      <c r="K306" s="30">
        <f t="shared" si="41"/>
        <v>-0.20324923346619972</v>
      </c>
      <c r="L306" s="30">
        <f t="shared" si="42"/>
        <v>1.0085245004916694</v>
      </c>
      <c r="M306" s="30">
        <f t="shared" si="43"/>
        <v>-2.0226752573026383</v>
      </c>
      <c r="N306" s="30">
        <f t="shared" si="46"/>
        <v>1.7383011500194003</v>
      </c>
      <c r="O306" s="28">
        <f t="shared" si="47"/>
        <v>1.2957295081354891</v>
      </c>
      <c r="P306" s="28">
        <f t="shared" si="48"/>
        <v>0.20137558531523905</v>
      </c>
      <c r="Q306" s="28">
        <f t="shared" si="49"/>
        <v>4.1310250904597758E-2</v>
      </c>
      <c r="R306" s="28">
        <f t="shared" si="50"/>
        <v>1.0171216680919712</v>
      </c>
      <c r="S306" s="28">
        <f t="shared" si="51"/>
        <v>4.0912151965042938</v>
      </c>
      <c r="T306" s="28">
        <f t="shared" si="52"/>
        <v>3.0216908881587696</v>
      </c>
    </row>
    <row r="307" spans="1:20" x14ac:dyDescent="0.2">
      <c r="A307" s="44">
        <v>45717</v>
      </c>
      <c r="B307" s="1">
        <v>4.9000000000000004</v>
      </c>
      <c r="C307" s="1">
        <v>3.5</v>
      </c>
      <c r="D307" s="1">
        <v>4.32</v>
      </c>
      <c r="E307" s="18">
        <f t="shared" si="44"/>
        <v>4.7383011500194003</v>
      </c>
      <c r="F307" s="18">
        <f>AVERAGE($B$4:B306)</f>
        <v>3.7331051132257231</v>
      </c>
      <c r="G307" s="18">
        <f t="shared" si="45"/>
        <v>6.7962850123424277</v>
      </c>
      <c r="H307" s="19">
        <v>3</v>
      </c>
      <c r="I307" s="30">
        <f t="shared" si="39"/>
        <v>1.4000000000000004</v>
      </c>
      <c r="J307" s="30">
        <f t="shared" si="40"/>
        <v>0.58000000000000007</v>
      </c>
      <c r="K307" s="30">
        <f t="shared" si="41"/>
        <v>0.16169884998060002</v>
      </c>
      <c r="L307" s="30">
        <f t="shared" si="42"/>
        <v>1.1668948867742772</v>
      </c>
      <c r="M307" s="30">
        <f t="shared" si="43"/>
        <v>-1.8962850123424273</v>
      </c>
      <c r="N307" s="30">
        <f t="shared" si="46"/>
        <v>1.9000000000000004</v>
      </c>
      <c r="O307" s="28">
        <f t="shared" si="47"/>
        <v>1.9600000000000011</v>
      </c>
      <c r="P307" s="28">
        <f t="shared" si="48"/>
        <v>0.33640000000000009</v>
      </c>
      <c r="Q307" s="28">
        <f t="shared" si="49"/>
        <v>2.6146518085048594E-2</v>
      </c>
      <c r="R307" s="28">
        <f t="shared" si="50"/>
        <v>1.3616436767799533</v>
      </c>
      <c r="S307" s="28">
        <f t="shared" si="51"/>
        <v>3.5958968480345197</v>
      </c>
      <c r="T307" s="28">
        <f t="shared" si="52"/>
        <v>3.6100000000000012</v>
      </c>
    </row>
    <row r="308" spans="1:20" x14ac:dyDescent="0.2">
      <c r="A308" s="44">
        <v>45748</v>
      </c>
      <c r="B308" s="92"/>
      <c r="C308" s="1">
        <v>3.6</v>
      </c>
    </row>
    <row r="309" spans="1:20" x14ac:dyDescent="0.2">
      <c r="B309" s="12"/>
      <c r="C309" s="13"/>
    </row>
    <row r="312" spans="1:20" x14ac:dyDescent="0.2">
      <c r="B312" s="3"/>
    </row>
    <row r="314" spans="1:20" ht="16" thickBot="1" x14ac:dyDescent="0.25">
      <c r="C314" s="87"/>
      <c r="D314" s="89"/>
      <c r="E314" s="89"/>
      <c r="F314" s="89"/>
      <c r="G314" s="89"/>
      <c r="H314" s="89"/>
      <c r="I314" s="89"/>
      <c r="J314" s="89"/>
      <c r="K314" s="89"/>
      <c r="L314" s="87"/>
    </row>
    <row r="315" spans="1:20" ht="16" thickBot="1" x14ac:dyDescent="0.25">
      <c r="A315" s="3"/>
      <c r="B315" s="2"/>
      <c r="C315" s="88"/>
      <c r="D315" s="89"/>
      <c r="E315" s="89"/>
      <c r="F315" s="89"/>
      <c r="G315" s="89"/>
      <c r="H315" s="89"/>
      <c r="I315" s="89"/>
      <c r="J315" s="89"/>
      <c r="K315" s="89"/>
      <c r="L315" s="87"/>
      <c r="O315" s="51" t="s">
        <v>42</v>
      </c>
    </row>
    <row r="316" spans="1:20" ht="16" thickBot="1" x14ac:dyDescent="0.25">
      <c r="A316" s="3"/>
      <c r="C316" s="87"/>
      <c r="D316" s="90"/>
      <c r="E316" s="90"/>
      <c r="F316" s="89"/>
      <c r="G316" s="89"/>
      <c r="H316" s="89"/>
      <c r="I316" s="89"/>
      <c r="J316" s="89"/>
      <c r="K316" s="89"/>
      <c r="L316" s="87"/>
      <c r="O316" s="52">
        <f>SQRT(AVERAGE(O148:O307))</f>
        <v>2.15543152738113</v>
      </c>
      <c r="P316" s="52">
        <f t="shared" ref="P316:T316" si="53">SQRT(AVERAGE(P148:P307))</f>
        <v>1.2089267270163453</v>
      </c>
      <c r="Q316" s="52">
        <f t="shared" si="53"/>
        <v>0.4815895381005264</v>
      </c>
      <c r="R316" s="52">
        <f t="shared" si="53"/>
        <v>2.9033138479826386</v>
      </c>
      <c r="S316" s="52">
        <f t="shared" si="53"/>
        <v>2.7511096684829077</v>
      </c>
      <c r="T316" s="52">
        <f t="shared" si="53"/>
        <v>3.0653361179630072</v>
      </c>
    </row>
    <row r="317" spans="1:20" x14ac:dyDescent="0.2">
      <c r="C317" s="87"/>
      <c r="D317" s="89"/>
      <c r="E317" s="89"/>
      <c r="F317" s="89"/>
      <c r="G317" s="89"/>
      <c r="H317" s="89"/>
      <c r="I317" s="89"/>
      <c r="J317" s="89"/>
      <c r="K317" s="89"/>
      <c r="L317" s="87"/>
    </row>
    <row r="318" spans="1:20" x14ac:dyDescent="0.2">
      <c r="C318" s="87"/>
      <c r="D318" s="89"/>
      <c r="E318" s="89"/>
      <c r="F318" s="89"/>
      <c r="G318" s="89"/>
      <c r="H318" s="89"/>
      <c r="I318" s="89"/>
      <c r="J318" s="89"/>
      <c r="K318" s="89"/>
      <c r="L318" s="87"/>
    </row>
    <row r="319" spans="1:20" x14ac:dyDescent="0.2">
      <c r="C319" s="87"/>
      <c r="D319" s="89"/>
      <c r="E319" s="89"/>
      <c r="F319" s="89"/>
      <c r="G319" s="89"/>
      <c r="H319" s="89"/>
      <c r="I319" s="89"/>
      <c r="J319" s="89"/>
      <c r="K319" s="89"/>
      <c r="L319" s="87"/>
    </row>
    <row r="320" spans="1:20" ht="16" thickBot="1" x14ac:dyDescent="0.25">
      <c r="C320" s="87"/>
      <c r="D320" s="89"/>
      <c r="E320" s="89"/>
      <c r="F320" s="89"/>
      <c r="G320" s="89"/>
      <c r="H320" s="89"/>
      <c r="I320" s="89"/>
      <c r="J320" s="89"/>
      <c r="K320" s="89"/>
      <c r="L320" s="87"/>
      <c r="N320" s="3"/>
    </row>
    <row r="321" spans="2:20" ht="16" thickBot="1" x14ac:dyDescent="0.25">
      <c r="C321" s="87"/>
      <c r="D321" s="89"/>
      <c r="E321" s="89"/>
      <c r="F321" s="89"/>
      <c r="G321" s="89"/>
      <c r="H321" s="89"/>
      <c r="I321" s="89"/>
      <c r="J321" s="89"/>
      <c r="K321" s="89"/>
      <c r="L321" s="87"/>
      <c r="O321" s="51" t="s">
        <v>40</v>
      </c>
    </row>
    <row r="322" spans="2:20" ht="16" thickBot="1" x14ac:dyDescent="0.25">
      <c r="C322" s="87"/>
      <c r="D322" s="89"/>
      <c r="E322" s="89"/>
      <c r="F322" s="89"/>
      <c r="G322" s="89"/>
      <c r="H322" s="89"/>
      <c r="I322" s="89"/>
      <c r="J322" s="89"/>
      <c r="K322" s="89"/>
      <c r="L322" s="87"/>
      <c r="O322" s="56">
        <v>2.1627000000000001</v>
      </c>
      <c r="P322" s="56">
        <v>1.2141</v>
      </c>
      <c r="Q322" s="57">
        <v>0.48280000000000001</v>
      </c>
      <c r="R322" s="57">
        <v>2.9184999999999999</v>
      </c>
      <c r="S322" s="57">
        <v>2.7637</v>
      </c>
      <c r="T322" s="57">
        <v>3.0788000000000002</v>
      </c>
    </row>
    <row r="323" spans="2:20" x14ac:dyDescent="0.2">
      <c r="C323" s="87"/>
      <c r="D323" s="89"/>
      <c r="E323" s="89"/>
      <c r="F323" s="89"/>
      <c r="G323" s="89"/>
      <c r="H323" s="89"/>
      <c r="I323" s="89"/>
      <c r="J323" s="89"/>
      <c r="K323" s="89"/>
      <c r="L323" s="87"/>
    </row>
    <row r="324" spans="2:20" x14ac:dyDescent="0.2">
      <c r="C324" s="87"/>
      <c r="D324" s="91"/>
      <c r="E324" s="91"/>
      <c r="F324" s="91"/>
      <c r="G324" s="91"/>
      <c r="H324" s="91"/>
      <c r="I324" s="91"/>
      <c r="J324" s="89"/>
      <c r="K324" s="89"/>
      <c r="L324" s="87"/>
    </row>
    <row r="325" spans="2:20" x14ac:dyDescent="0.2">
      <c r="C325" s="87"/>
      <c r="D325" s="89"/>
      <c r="E325" s="89"/>
      <c r="F325" s="89"/>
      <c r="G325" s="89"/>
      <c r="H325" s="89"/>
      <c r="I325" s="89"/>
      <c r="J325" s="89"/>
      <c r="K325" s="89"/>
      <c r="L325" s="87"/>
    </row>
    <row r="326" spans="2:20" x14ac:dyDescent="0.2">
      <c r="B326" s="3"/>
      <c r="C326" s="87"/>
      <c r="D326" s="89"/>
      <c r="E326" s="89"/>
      <c r="F326" s="89"/>
      <c r="G326" s="89"/>
      <c r="H326" s="89"/>
      <c r="I326" s="89"/>
      <c r="J326" s="89"/>
      <c r="K326" s="89"/>
      <c r="L326" s="87"/>
    </row>
    <row r="327" spans="2:20" x14ac:dyDescent="0.2">
      <c r="B327" s="3"/>
      <c r="C327" s="87"/>
      <c r="D327" s="89"/>
      <c r="E327" s="89"/>
      <c r="F327" s="89"/>
      <c r="G327" s="89"/>
      <c r="H327" s="89"/>
      <c r="I327" s="89"/>
      <c r="J327" s="89"/>
      <c r="K327" s="89"/>
      <c r="L327" s="87"/>
    </row>
    <row r="328" spans="2:20" x14ac:dyDescent="0.2">
      <c r="C328" s="87"/>
      <c r="D328" s="89"/>
      <c r="E328" s="89"/>
      <c r="F328" s="89"/>
      <c r="G328" s="89"/>
      <c r="H328" s="89"/>
      <c r="I328" s="89"/>
      <c r="J328" s="89"/>
      <c r="K328" s="89"/>
      <c r="L328" s="89"/>
    </row>
    <row r="329" spans="2:20" x14ac:dyDescent="0.2">
      <c r="C329" s="87"/>
      <c r="D329" s="91"/>
      <c r="E329" s="91"/>
      <c r="F329" s="91"/>
      <c r="G329" s="91"/>
      <c r="H329" s="91"/>
      <c r="I329" s="91"/>
      <c r="J329" s="91"/>
      <c r="K329" s="91"/>
      <c r="L329" s="91"/>
    </row>
    <row r="330" spans="2:20" x14ac:dyDescent="0.2">
      <c r="C330" s="87"/>
      <c r="D330" s="89"/>
      <c r="E330" s="89"/>
      <c r="F330" s="89"/>
      <c r="G330" s="89"/>
      <c r="H330" s="89"/>
      <c r="I330" s="89"/>
      <c r="J330" s="89"/>
      <c r="K330" s="89"/>
      <c r="L330" s="89"/>
    </row>
    <row r="331" spans="2:20" x14ac:dyDescent="0.2">
      <c r="C331" s="87"/>
      <c r="D331" s="89"/>
      <c r="E331" s="89"/>
      <c r="F331" s="89"/>
      <c r="G331" s="89"/>
      <c r="H331" s="89"/>
      <c r="I331" s="89"/>
      <c r="J331" s="89"/>
      <c r="K331" s="89"/>
      <c r="L331" s="89"/>
    </row>
    <row r="332" spans="2:20" x14ac:dyDescent="0.2">
      <c r="C332" s="87"/>
      <c r="D332" s="89"/>
      <c r="E332" s="89"/>
      <c r="F332" s="89"/>
      <c r="G332" s="89"/>
      <c r="H332" s="89"/>
      <c r="I332" s="89"/>
      <c r="J332" s="89"/>
      <c r="K332" s="89"/>
      <c r="L332" s="89"/>
    </row>
    <row r="333" spans="2:20" x14ac:dyDescent="0.2">
      <c r="C333" s="87"/>
      <c r="D333" s="89"/>
      <c r="E333" s="89"/>
      <c r="F333" s="89"/>
      <c r="G333" s="89"/>
      <c r="H333" s="89"/>
      <c r="I333" s="89"/>
      <c r="J333" s="89"/>
      <c r="K333" s="89"/>
      <c r="L333" s="89"/>
    </row>
    <row r="334" spans="2:20" x14ac:dyDescent="0.2">
      <c r="C334" s="87"/>
      <c r="D334" s="87"/>
      <c r="E334" s="87"/>
      <c r="F334" s="87"/>
      <c r="G334" s="87"/>
      <c r="H334" s="87"/>
      <c r="I334" s="87"/>
      <c r="J334" s="87"/>
      <c r="K334" s="87"/>
      <c r="L334" s="87"/>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6E12F-1357-8A4C-AF27-94DF45021C3C}">
  <dimension ref="A1:T322"/>
  <sheetViews>
    <sheetView workbookViewId="0">
      <pane ySplit="1" topLeftCell="A2" activePane="bottomLeft" state="frozen"/>
      <selection pane="bottomLeft" activeCell="F22" sqref="F22"/>
    </sheetView>
  </sheetViews>
  <sheetFormatPr baseColWidth="10" defaultRowHeight="15" x14ac:dyDescent="0.2"/>
  <cols>
    <col min="15" max="15" width="16.33203125" customWidth="1"/>
    <col min="20" max="20" width="17.5" customWidth="1"/>
  </cols>
  <sheetData>
    <row r="1" spans="1:20" ht="16" x14ac:dyDescent="0.2">
      <c r="A1" s="83"/>
      <c r="B1" s="83"/>
      <c r="C1" s="83"/>
    </row>
    <row r="3" spans="1:20" ht="128" x14ac:dyDescent="0.2">
      <c r="A3" s="42" t="s">
        <v>1</v>
      </c>
      <c r="B3" s="42" t="s">
        <v>39</v>
      </c>
      <c r="C3" s="42" t="s">
        <v>53</v>
      </c>
      <c r="D3" s="50" t="s">
        <v>48</v>
      </c>
      <c r="E3" s="20" t="s">
        <v>49</v>
      </c>
      <c r="F3" s="20" t="s">
        <v>50</v>
      </c>
      <c r="G3" s="20" t="s">
        <v>51</v>
      </c>
      <c r="H3" s="20" t="s">
        <v>52</v>
      </c>
      <c r="I3" s="29" t="s">
        <v>55</v>
      </c>
      <c r="J3" s="62" t="s">
        <v>54</v>
      </c>
      <c r="K3" s="29" t="s">
        <v>56</v>
      </c>
      <c r="L3" s="62" t="s">
        <v>57</v>
      </c>
      <c r="M3" s="62" t="s">
        <v>58</v>
      </c>
      <c r="N3" s="62" t="s">
        <v>59</v>
      </c>
      <c r="O3" s="63" t="s">
        <v>60</v>
      </c>
      <c r="P3" s="63" t="s">
        <v>61</v>
      </c>
      <c r="Q3" s="63" t="s">
        <v>62</v>
      </c>
      <c r="R3" s="63" t="s">
        <v>63</v>
      </c>
      <c r="S3" s="63" t="s">
        <v>64</v>
      </c>
      <c r="T3" s="63" t="s">
        <v>65</v>
      </c>
    </row>
    <row r="4" spans="1:20" x14ac:dyDescent="0.2">
      <c r="A4" s="44">
        <v>36495</v>
      </c>
      <c r="B4" s="32">
        <v>2.320284515</v>
      </c>
      <c r="L4" s="5"/>
    </row>
    <row r="5" spans="1:20" x14ac:dyDescent="0.2">
      <c r="A5" s="44">
        <v>36526</v>
      </c>
      <c r="B5" s="32">
        <v>2.8316204100000002</v>
      </c>
    </row>
    <row r="6" spans="1:20" x14ac:dyDescent="0.2">
      <c r="A6" s="44">
        <v>36557</v>
      </c>
      <c r="B6" s="32">
        <v>3.3276025819999999</v>
      </c>
    </row>
    <row r="7" spans="1:20" x14ac:dyDescent="0.2">
      <c r="A7" s="44">
        <v>36586</v>
      </c>
      <c r="B7" s="32">
        <v>3.4272735679999999</v>
      </c>
    </row>
    <row r="8" spans="1:20" x14ac:dyDescent="0.2">
      <c r="A8" s="44">
        <v>36617</v>
      </c>
      <c r="B8" s="32">
        <v>3.5302095370000002</v>
      </c>
    </row>
    <row r="9" spans="1:20" x14ac:dyDescent="0.2">
      <c r="A9" s="44">
        <v>36647</v>
      </c>
      <c r="B9" s="32">
        <v>3.6357526739999999</v>
      </c>
    </row>
    <row r="10" spans="1:20" x14ac:dyDescent="0.2">
      <c r="A10" s="44">
        <v>36678</v>
      </c>
      <c r="B10" s="32">
        <v>3.7285308060000002</v>
      </c>
    </row>
    <row r="11" spans="1:20" x14ac:dyDescent="0.2">
      <c r="A11" s="44">
        <v>36708</v>
      </c>
      <c r="B11" s="32">
        <v>3.8046348619999999</v>
      </c>
    </row>
    <row r="12" spans="1:20" x14ac:dyDescent="0.2">
      <c r="A12" s="44">
        <v>36739</v>
      </c>
      <c r="B12" s="32">
        <v>3.86290442</v>
      </c>
    </row>
    <row r="13" spans="1:20" x14ac:dyDescent="0.2">
      <c r="A13" s="44">
        <v>36770</v>
      </c>
      <c r="B13" s="32">
        <v>4.2576910459999997</v>
      </c>
    </row>
    <row r="14" spans="1:20" x14ac:dyDescent="0.2">
      <c r="A14" s="44">
        <v>36800</v>
      </c>
      <c r="B14" s="32">
        <v>4.5211703920000001</v>
      </c>
    </row>
    <row r="15" spans="1:20" x14ac:dyDescent="0.2">
      <c r="A15" s="44">
        <v>36831</v>
      </c>
      <c r="B15" s="32">
        <v>4.6791907239999997</v>
      </c>
    </row>
    <row r="16" spans="1:20" x14ac:dyDescent="0.2">
      <c r="A16" s="44">
        <v>36861</v>
      </c>
      <c r="B16" s="32">
        <v>4.5198960789999996</v>
      </c>
    </row>
    <row r="17" spans="1:3" x14ac:dyDescent="0.2">
      <c r="A17" s="44">
        <v>36892</v>
      </c>
      <c r="B17" s="32">
        <v>4.694050818</v>
      </c>
    </row>
    <row r="18" spans="1:3" x14ac:dyDescent="0.2">
      <c r="A18" s="44">
        <v>36923</v>
      </c>
      <c r="B18" s="32">
        <v>3.7911114760000002</v>
      </c>
      <c r="C18" s="32">
        <v>3.7</v>
      </c>
    </row>
    <row r="19" spans="1:3" x14ac:dyDescent="0.2">
      <c r="A19" s="44">
        <v>36951</v>
      </c>
      <c r="B19" s="32">
        <v>3.5327633399999998</v>
      </c>
      <c r="C19" s="34" t="s">
        <v>0</v>
      </c>
    </row>
    <row r="20" spans="1:3" x14ac:dyDescent="0.2">
      <c r="A20" s="44">
        <v>36982</v>
      </c>
      <c r="B20" s="32">
        <v>3.5246542910000001</v>
      </c>
      <c r="C20" s="34" t="s">
        <v>0</v>
      </c>
    </row>
    <row r="21" spans="1:3" x14ac:dyDescent="0.2">
      <c r="A21" s="44">
        <v>37012</v>
      </c>
      <c r="B21" s="32">
        <v>3.7467350599999998</v>
      </c>
      <c r="C21" s="34" t="s">
        <v>0</v>
      </c>
    </row>
    <row r="22" spans="1:3" x14ac:dyDescent="0.2">
      <c r="A22" s="44">
        <v>37043</v>
      </c>
      <c r="B22" s="32">
        <v>3.561291384</v>
      </c>
      <c r="C22" s="34" t="s">
        <v>0</v>
      </c>
    </row>
    <row r="23" spans="1:3" x14ac:dyDescent="0.2">
      <c r="A23" s="44">
        <v>37073</v>
      </c>
      <c r="B23" s="32">
        <v>3.2148764270000001</v>
      </c>
      <c r="C23" s="34" t="s">
        <v>0</v>
      </c>
    </row>
    <row r="24" spans="1:3" x14ac:dyDescent="0.2">
      <c r="A24" s="44">
        <v>37104</v>
      </c>
      <c r="B24" s="32">
        <v>3.7731704339999999</v>
      </c>
      <c r="C24" s="34" t="s">
        <v>0</v>
      </c>
    </row>
    <row r="25" spans="1:3" x14ac:dyDescent="0.2">
      <c r="A25" s="44">
        <v>37135</v>
      </c>
      <c r="B25" s="32">
        <v>3.9018127410000001</v>
      </c>
      <c r="C25" s="34" t="s">
        <v>0</v>
      </c>
    </row>
    <row r="26" spans="1:3" x14ac:dyDescent="0.2">
      <c r="A26" s="44">
        <v>37165</v>
      </c>
      <c r="B26" s="32">
        <v>3.4089152010000001</v>
      </c>
      <c r="C26" s="32">
        <v>3.6</v>
      </c>
    </row>
    <row r="27" spans="1:3" x14ac:dyDescent="0.2">
      <c r="A27" s="44">
        <v>37196</v>
      </c>
      <c r="B27" s="32">
        <v>3.0589446090000001</v>
      </c>
      <c r="C27" s="32">
        <v>3.8</v>
      </c>
    </row>
    <row r="28" spans="1:3" x14ac:dyDescent="0.2">
      <c r="A28" s="44">
        <v>37226</v>
      </c>
      <c r="B28" s="32">
        <v>2.633621883</v>
      </c>
      <c r="C28" s="32">
        <v>3.9</v>
      </c>
    </row>
    <row r="29" spans="1:3" x14ac:dyDescent="0.2">
      <c r="A29" s="44">
        <v>37257</v>
      </c>
      <c r="B29" s="32">
        <v>2.2102109849999998</v>
      </c>
      <c r="C29" s="32">
        <v>3.5</v>
      </c>
    </row>
    <row r="30" spans="1:3" x14ac:dyDescent="0.2">
      <c r="A30" s="44">
        <v>37288</v>
      </c>
      <c r="B30" s="32">
        <v>2.5296612230000002</v>
      </c>
      <c r="C30" s="32">
        <v>3.2</v>
      </c>
    </row>
    <row r="31" spans="1:3" x14ac:dyDescent="0.2">
      <c r="A31" s="44">
        <v>37316</v>
      </c>
      <c r="B31" s="32">
        <v>2.5768234589999999</v>
      </c>
      <c r="C31" s="32">
        <v>3.1</v>
      </c>
    </row>
    <row r="32" spans="1:3" x14ac:dyDescent="0.2">
      <c r="A32" s="44">
        <v>37347</v>
      </c>
      <c r="B32" s="32">
        <v>2.483862309</v>
      </c>
      <c r="C32" s="32">
        <v>3</v>
      </c>
    </row>
    <row r="33" spans="1:3" x14ac:dyDescent="0.2">
      <c r="A33" s="44">
        <v>37377</v>
      </c>
      <c r="B33" s="32">
        <v>2.132392104</v>
      </c>
      <c r="C33" s="32">
        <v>3.1</v>
      </c>
    </row>
    <row r="34" spans="1:3" x14ac:dyDescent="0.2">
      <c r="A34" s="44">
        <v>37408</v>
      </c>
      <c r="B34" s="32">
        <v>1.9484491289999999</v>
      </c>
      <c r="C34" s="32">
        <v>3</v>
      </c>
    </row>
    <row r="35" spans="1:3" x14ac:dyDescent="0.2">
      <c r="A35" s="44">
        <v>37438</v>
      </c>
      <c r="B35" s="32">
        <v>2.6000146310000001</v>
      </c>
      <c r="C35" s="32">
        <v>2.8</v>
      </c>
    </row>
    <row r="36" spans="1:3" x14ac:dyDescent="0.2">
      <c r="A36" s="44">
        <v>37469</v>
      </c>
      <c r="B36" s="32">
        <v>2.1761916549999998</v>
      </c>
      <c r="C36" s="32">
        <v>2.8</v>
      </c>
    </row>
    <row r="37" spans="1:3" x14ac:dyDescent="0.2">
      <c r="A37" s="44">
        <v>37500</v>
      </c>
      <c r="B37" s="32">
        <v>2.2926394760000002</v>
      </c>
      <c r="C37" s="32">
        <v>2.6</v>
      </c>
    </row>
    <row r="38" spans="1:3" x14ac:dyDescent="0.2">
      <c r="A38" s="44">
        <v>37530</v>
      </c>
      <c r="B38" s="32">
        <v>3.06035974</v>
      </c>
      <c r="C38" s="32">
        <v>2.7</v>
      </c>
    </row>
    <row r="39" spans="1:3" x14ac:dyDescent="0.2">
      <c r="A39" s="44">
        <v>37561</v>
      </c>
      <c r="B39" s="32">
        <v>2.9807972820000002</v>
      </c>
      <c r="C39" s="32">
        <v>3</v>
      </c>
    </row>
    <row r="40" spans="1:3" x14ac:dyDescent="0.2">
      <c r="A40" s="44">
        <v>37591</v>
      </c>
      <c r="B40" s="32">
        <v>2.8442239659999999</v>
      </c>
      <c r="C40" s="32">
        <v>3</v>
      </c>
    </row>
    <row r="41" spans="1:3" x14ac:dyDescent="0.2">
      <c r="A41" s="44">
        <v>37622</v>
      </c>
      <c r="B41" s="32">
        <v>3.0245819599999999</v>
      </c>
      <c r="C41" s="32">
        <v>3</v>
      </c>
    </row>
    <row r="42" spans="1:3" x14ac:dyDescent="0.2">
      <c r="A42" s="44">
        <v>37653</v>
      </c>
      <c r="B42" s="32">
        <v>3.8320310649999998</v>
      </c>
      <c r="C42" s="32">
        <v>3</v>
      </c>
    </row>
    <row r="43" spans="1:3" x14ac:dyDescent="0.2">
      <c r="A43" s="44">
        <v>37681</v>
      </c>
      <c r="B43" s="32">
        <v>4.4947572600000001</v>
      </c>
      <c r="C43" s="32">
        <v>3</v>
      </c>
    </row>
    <row r="44" spans="1:3" x14ac:dyDescent="0.2">
      <c r="A44" s="44">
        <v>37712</v>
      </c>
      <c r="B44" s="32">
        <v>4.0014362620000004</v>
      </c>
      <c r="C44" s="32">
        <v>3</v>
      </c>
    </row>
    <row r="45" spans="1:3" x14ac:dyDescent="0.2">
      <c r="A45" s="44">
        <v>37742</v>
      </c>
      <c r="B45" s="32">
        <v>3.5069667369999999</v>
      </c>
      <c r="C45" s="32">
        <v>3</v>
      </c>
    </row>
    <row r="46" spans="1:3" x14ac:dyDescent="0.2">
      <c r="A46" s="44">
        <v>37773</v>
      </c>
      <c r="B46" s="32">
        <v>3.6386787279999999</v>
      </c>
      <c r="C46" s="32">
        <v>2.9</v>
      </c>
    </row>
    <row r="47" spans="1:3" x14ac:dyDescent="0.2">
      <c r="A47" s="44">
        <v>37803</v>
      </c>
      <c r="B47" s="32">
        <v>3.093054253</v>
      </c>
      <c r="C47" s="32">
        <v>2.9</v>
      </c>
    </row>
    <row r="48" spans="1:3" x14ac:dyDescent="0.2">
      <c r="A48" s="44">
        <v>37834</v>
      </c>
      <c r="B48" s="32">
        <v>2.8687406379999998</v>
      </c>
      <c r="C48" s="32">
        <v>3.1</v>
      </c>
    </row>
    <row r="49" spans="1:4" x14ac:dyDescent="0.2">
      <c r="A49" s="44">
        <v>37865</v>
      </c>
      <c r="B49" s="32">
        <v>2.2004787540000001</v>
      </c>
      <c r="C49" s="32">
        <v>3</v>
      </c>
    </row>
    <row r="50" spans="1:4" x14ac:dyDescent="0.2">
      <c r="A50" s="44">
        <v>37895</v>
      </c>
      <c r="B50" s="32">
        <v>1.151487167</v>
      </c>
      <c r="C50" s="32">
        <v>3.2</v>
      </c>
    </row>
    <row r="51" spans="1:4" x14ac:dyDescent="0.2">
      <c r="A51" s="44">
        <v>37926</v>
      </c>
      <c r="B51" s="32">
        <v>0.92309418600000004</v>
      </c>
      <c r="C51" s="32">
        <v>3</v>
      </c>
    </row>
    <row r="52" spans="1:4" x14ac:dyDescent="0.2">
      <c r="A52" s="44">
        <v>37956</v>
      </c>
      <c r="B52" s="32">
        <v>1.044651349</v>
      </c>
      <c r="C52" s="32">
        <v>2.5</v>
      </c>
      <c r="D52" s="32"/>
    </row>
    <row r="53" spans="1:4" x14ac:dyDescent="0.2">
      <c r="A53" s="44">
        <v>37987</v>
      </c>
      <c r="B53" s="32">
        <v>0.76684437299999997</v>
      </c>
      <c r="C53" s="32">
        <v>2.2999999999999998</v>
      </c>
      <c r="D53" s="32"/>
    </row>
    <row r="54" spans="1:4" x14ac:dyDescent="0.2">
      <c r="A54" s="44">
        <v>38018</v>
      </c>
      <c r="B54" s="32">
        <v>-1.0583085000000001E-2</v>
      </c>
      <c r="C54" s="32">
        <v>2</v>
      </c>
      <c r="D54" s="32"/>
    </row>
    <row r="55" spans="1:4" x14ac:dyDescent="0.2">
      <c r="A55" s="44">
        <v>38047</v>
      </c>
      <c r="B55" s="32">
        <v>-0.75137248800000001</v>
      </c>
      <c r="C55" s="32">
        <v>2.1</v>
      </c>
      <c r="D55" s="32"/>
    </row>
    <row r="56" spans="1:4" x14ac:dyDescent="0.2">
      <c r="A56" s="44">
        <v>38078</v>
      </c>
      <c r="B56" s="32">
        <v>-0.29596737200000001</v>
      </c>
      <c r="C56" s="32">
        <v>2.2000000000000002</v>
      </c>
      <c r="D56" s="32"/>
    </row>
    <row r="57" spans="1:4" x14ac:dyDescent="0.2">
      <c r="A57" s="44">
        <v>38108</v>
      </c>
      <c r="B57" s="32">
        <v>0.62111017400000001</v>
      </c>
      <c r="C57" s="32">
        <v>2.4</v>
      </c>
      <c r="D57" s="32"/>
    </row>
    <row r="58" spans="1:4" x14ac:dyDescent="0.2">
      <c r="A58" s="44">
        <v>38139</v>
      </c>
      <c r="B58" s="32">
        <v>1.055754428</v>
      </c>
      <c r="C58" s="32">
        <v>2.5</v>
      </c>
      <c r="D58" s="32"/>
    </row>
    <row r="59" spans="1:4" x14ac:dyDescent="0.2">
      <c r="A59" s="44">
        <v>38169</v>
      </c>
      <c r="B59" s="32">
        <v>1.3778155299999999</v>
      </c>
      <c r="C59" s="32">
        <v>2.6</v>
      </c>
      <c r="D59" s="32"/>
    </row>
    <row r="60" spans="1:4" x14ac:dyDescent="0.2">
      <c r="A60" s="44">
        <v>38200</v>
      </c>
      <c r="B60" s="32">
        <v>1.5955762060000001</v>
      </c>
      <c r="C60" s="32">
        <v>2.5</v>
      </c>
      <c r="D60" s="32"/>
    </row>
    <row r="61" spans="1:4" x14ac:dyDescent="0.2">
      <c r="A61" s="44">
        <v>38231</v>
      </c>
      <c r="B61" s="32">
        <v>1.461946586</v>
      </c>
      <c r="C61" s="32">
        <v>2.6</v>
      </c>
      <c r="D61" s="32"/>
    </row>
    <row r="62" spans="1:4" x14ac:dyDescent="0.2">
      <c r="A62" s="44">
        <v>38261</v>
      </c>
      <c r="B62" s="32">
        <v>1.9130358139999999</v>
      </c>
      <c r="C62" s="32">
        <v>2.8</v>
      </c>
      <c r="D62" s="32"/>
    </row>
    <row r="63" spans="1:4" x14ac:dyDescent="0.2">
      <c r="A63" s="44">
        <v>38292</v>
      </c>
      <c r="B63" s="32">
        <v>2.4830099410000002</v>
      </c>
      <c r="C63" s="32">
        <v>3</v>
      </c>
      <c r="D63" s="32"/>
    </row>
    <row r="64" spans="1:4" x14ac:dyDescent="0.2">
      <c r="A64" s="44">
        <v>38322</v>
      </c>
      <c r="B64" s="32">
        <v>2.4210260610000001</v>
      </c>
      <c r="C64" s="32">
        <v>2.9</v>
      </c>
      <c r="D64" s="32"/>
    </row>
    <row r="65" spans="1:4" x14ac:dyDescent="0.2">
      <c r="A65" s="44">
        <v>38353</v>
      </c>
      <c r="B65" s="32">
        <v>2.2877997780000001</v>
      </c>
      <c r="C65" s="32">
        <v>2.8</v>
      </c>
      <c r="D65" s="32"/>
    </row>
    <row r="66" spans="1:4" x14ac:dyDescent="0.2">
      <c r="A66" s="44">
        <v>38384</v>
      </c>
      <c r="B66" s="32">
        <v>2.1815860890000001</v>
      </c>
      <c r="C66" s="32">
        <v>2.7</v>
      </c>
      <c r="D66" s="32"/>
    </row>
    <row r="67" spans="1:4" x14ac:dyDescent="0.2">
      <c r="A67" s="44">
        <v>38412</v>
      </c>
      <c r="B67" s="32">
        <v>2.4038656669999998</v>
      </c>
      <c r="C67" s="32">
        <v>2.6</v>
      </c>
      <c r="D67" s="32"/>
    </row>
    <row r="68" spans="1:4" x14ac:dyDescent="0.2">
      <c r="A68" s="44">
        <v>38443</v>
      </c>
      <c r="B68" s="32">
        <v>2.9504499150000001</v>
      </c>
      <c r="C68" s="32">
        <v>2.7</v>
      </c>
      <c r="D68" s="32"/>
    </row>
    <row r="69" spans="1:4" x14ac:dyDescent="0.2">
      <c r="A69" s="44">
        <v>38473</v>
      </c>
      <c r="B69" s="32">
        <v>2.6835984050000001</v>
      </c>
      <c r="C69" s="32">
        <v>2.8</v>
      </c>
      <c r="D69" s="32"/>
    </row>
    <row r="70" spans="1:4" x14ac:dyDescent="0.2">
      <c r="A70" s="44">
        <v>38504</v>
      </c>
      <c r="B70" s="32">
        <v>2.6601725599999999</v>
      </c>
      <c r="C70" s="32">
        <v>2.9</v>
      </c>
      <c r="D70" s="32">
        <v>3</v>
      </c>
    </row>
    <row r="71" spans="1:4" x14ac:dyDescent="0.2">
      <c r="A71" s="44">
        <v>38534</v>
      </c>
      <c r="B71" s="32">
        <v>3.054786848</v>
      </c>
      <c r="C71" s="32">
        <v>3</v>
      </c>
      <c r="D71" s="32">
        <v>3</v>
      </c>
    </row>
    <row r="72" spans="1:4" x14ac:dyDescent="0.2">
      <c r="A72" s="44">
        <v>38565</v>
      </c>
      <c r="B72" s="32">
        <v>2.9634008949999999</v>
      </c>
      <c r="C72" s="32">
        <v>2.9</v>
      </c>
      <c r="D72" s="32">
        <v>3</v>
      </c>
    </row>
    <row r="73" spans="1:4" x14ac:dyDescent="0.2">
      <c r="A73" s="44">
        <v>38596</v>
      </c>
      <c r="B73" s="32">
        <v>3.9622246840000002</v>
      </c>
      <c r="C73" s="32">
        <v>3</v>
      </c>
      <c r="D73" s="32">
        <v>3.3</v>
      </c>
    </row>
    <row r="74" spans="1:4" x14ac:dyDescent="0.2">
      <c r="A74" s="44">
        <v>38626</v>
      </c>
      <c r="B74" s="32">
        <v>4.1531870550000001</v>
      </c>
      <c r="C74" s="32">
        <v>3.2</v>
      </c>
      <c r="D74" s="32">
        <v>3.5</v>
      </c>
    </row>
    <row r="75" spans="1:4" x14ac:dyDescent="0.2">
      <c r="A75" s="44">
        <v>38657</v>
      </c>
      <c r="B75" s="32">
        <v>3.6464189870000001</v>
      </c>
      <c r="C75" s="32">
        <v>3.3</v>
      </c>
      <c r="D75" s="32">
        <v>4</v>
      </c>
    </row>
    <row r="76" spans="1:4" x14ac:dyDescent="0.2">
      <c r="A76" s="44">
        <v>38687</v>
      </c>
      <c r="B76" s="32">
        <v>3.6665469439999998</v>
      </c>
      <c r="C76" s="32">
        <v>3.1</v>
      </c>
      <c r="D76" s="32">
        <v>4</v>
      </c>
    </row>
    <row r="77" spans="1:4" x14ac:dyDescent="0.2">
      <c r="A77" s="44">
        <v>38718</v>
      </c>
      <c r="B77" s="32">
        <v>4.0807329530000001</v>
      </c>
      <c r="C77" s="32">
        <v>3</v>
      </c>
      <c r="D77" s="32">
        <v>4</v>
      </c>
    </row>
    <row r="78" spans="1:4" x14ac:dyDescent="0.2">
      <c r="A78" s="44">
        <v>38749</v>
      </c>
      <c r="B78" s="32">
        <v>4.0783838100000001</v>
      </c>
      <c r="C78" s="32">
        <v>3</v>
      </c>
      <c r="D78" s="32">
        <v>3.6</v>
      </c>
    </row>
    <row r="79" spans="1:4" x14ac:dyDescent="0.2">
      <c r="A79" s="44">
        <v>38777</v>
      </c>
      <c r="B79" s="32">
        <v>4.0269411049999997</v>
      </c>
      <c r="C79" s="32">
        <v>3.1</v>
      </c>
      <c r="D79" s="32">
        <v>3.8</v>
      </c>
    </row>
    <row r="80" spans="1:4" x14ac:dyDescent="0.2">
      <c r="A80" s="44">
        <v>38808</v>
      </c>
      <c r="B80" s="32">
        <v>3.7684125129999999</v>
      </c>
      <c r="C80" s="32">
        <v>3</v>
      </c>
      <c r="D80" s="32">
        <v>3.6</v>
      </c>
    </row>
    <row r="81" spans="1:4" x14ac:dyDescent="0.2">
      <c r="A81" s="44">
        <v>38838</v>
      </c>
      <c r="B81" s="32">
        <v>3.7397829370000002</v>
      </c>
      <c r="C81" s="32">
        <v>3</v>
      </c>
      <c r="D81" s="32">
        <v>3.8</v>
      </c>
    </row>
    <row r="82" spans="1:4" x14ac:dyDescent="0.2">
      <c r="A82" s="44">
        <v>38869</v>
      </c>
      <c r="B82" s="32">
        <v>3.9252760109999998</v>
      </c>
      <c r="C82" s="32">
        <v>3</v>
      </c>
      <c r="D82" s="32">
        <v>4</v>
      </c>
    </row>
    <row r="83" spans="1:4" x14ac:dyDescent="0.2">
      <c r="A83" s="44">
        <v>38899</v>
      </c>
      <c r="B83" s="32">
        <v>3.8545605049999998</v>
      </c>
      <c r="C83" s="32">
        <v>3</v>
      </c>
      <c r="D83" s="32">
        <v>3.8</v>
      </c>
    </row>
    <row r="84" spans="1:4" x14ac:dyDescent="0.2">
      <c r="A84" s="44">
        <v>38930</v>
      </c>
      <c r="B84" s="32">
        <v>3.8143141109999998</v>
      </c>
      <c r="C84" s="32">
        <v>3</v>
      </c>
      <c r="D84" s="32">
        <v>4</v>
      </c>
    </row>
    <row r="85" spans="1:4" x14ac:dyDescent="0.2">
      <c r="A85" s="44">
        <v>38961</v>
      </c>
      <c r="B85" s="32">
        <v>2.777980136</v>
      </c>
      <c r="C85" s="32">
        <v>3.2</v>
      </c>
      <c r="D85" s="32">
        <v>4</v>
      </c>
    </row>
    <row r="86" spans="1:4" x14ac:dyDescent="0.2">
      <c r="A86" s="44">
        <v>38991</v>
      </c>
      <c r="B86" s="32">
        <v>2.0248900779999999</v>
      </c>
      <c r="C86" s="32">
        <v>3</v>
      </c>
      <c r="D86" s="32">
        <v>4</v>
      </c>
    </row>
    <row r="87" spans="1:4" x14ac:dyDescent="0.2">
      <c r="A87" s="44">
        <v>39022</v>
      </c>
      <c r="B87" s="32">
        <v>2.092317521</v>
      </c>
      <c r="C87" s="32">
        <v>2.7</v>
      </c>
      <c r="D87" s="32">
        <v>3.5</v>
      </c>
    </row>
    <row r="88" spans="1:4" x14ac:dyDescent="0.2">
      <c r="A88" s="44">
        <v>39052</v>
      </c>
      <c r="B88" s="32">
        <v>2.556428226</v>
      </c>
      <c r="C88" s="32">
        <v>2.9</v>
      </c>
      <c r="D88" s="32">
        <v>3.5</v>
      </c>
    </row>
    <row r="89" spans="1:4" x14ac:dyDescent="0.2">
      <c r="A89" s="44">
        <v>39083</v>
      </c>
      <c r="B89" s="32">
        <v>2.7884722169999998</v>
      </c>
      <c r="C89" s="32">
        <v>2.9</v>
      </c>
      <c r="D89" s="32">
        <v>3.2</v>
      </c>
    </row>
    <row r="90" spans="1:4" x14ac:dyDescent="0.2">
      <c r="A90" s="44">
        <v>39114</v>
      </c>
      <c r="B90" s="32">
        <v>2.7040595700000001</v>
      </c>
      <c r="C90" s="32">
        <v>3</v>
      </c>
      <c r="D90" s="32">
        <v>3</v>
      </c>
    </row>
    <row r="91" spans="1:4" x14ac:dyDescent="0.2">
      <c r="A91" s="44">
        <v>39142</v>
      </c>
      <c r="B91" s="32">
        <v>2.5425371459999999</v>
      </c>
      <c r="C91" s="32">
        <v>2.7</v>
      </c>
      <c r="D91" s="32">
        <v>3</v>
      </c>
    </row>
    <row r="92" spans="1:4" x14ac:dyDescent="0.2">
      <c r="A92" s="44">
        <v>39173</v>
      </c>
      <c r="B92" s="32">
        <v>2.4706647930000001</v>
      </c>
      <c r="C92" s="32">
        <v>2.8</v>
      </c>
      <c r="D92" s="32">
        <v>3</v>
      </c>
    </row>
    <row r="93" spans="1:4" x14ac:dyDescent="0.2">
      <c r="A93" s="44">
        <v>39203</v>
      </c>
      <c r="B93" s="32">
        <v>2.8586256259999998</v>
      </c>
      <c r="C93" s="32">
        <v>2.9</v>
      </c>
      <c r="D93" s="32">
        <v>3</v>
      </c>
    </row>
    <row r="94" spans="1:4" x14ac:dyDescent="0.2">
      <c r="A94" s="44">
        <v>39234</v>
      </c>
      <c r="B94" s="32">
        <v>3.214180008</v>
      </c>
      <c r="C94" s="32">
        <v>3</v>
      </c>
      <c r="D94" s="32">
        <v>3</v>
      </c>
    </row>
    <row r="95" spans="1:4" x14ac:dyDescent="0.2">
      <c r="A95" s="44">
        <v>39264</v>
      </c>
      <c r="B95" s="32">
        <v>3.8032176610000001</v>
      </c>
      <c r="C95" s="32">
        <v>3</v>
      </c>
      <c r="D95" s="32">
        <v>3.1</v>
      </c>
    </row>
    <row r="96" spans="1:4" x14ac:dyDescent="0.2">
      <c r="A96" s="44">
        <v>39295</v>
      </c>
      <c r="B96" s="32">
        <v>4.6464361639999998</v>
      </c>
      <c r="C96" s="32">
        <v>3.2</v>
      </c>
      <c r="D96" s="32">
        <v>4</v>
      </c>
    </row>
    <row r="97" spans="1:4" x14ac:dyDescent="0.2">
      <c r="A97" s="44">
        <v>39326</v>
      </c>
      <c r="B97" s="32">
        <v>5.7976560609999996</v>
      </c>
      <c r="C97" s="32">
        <v>3.5</v>
      </c>
      <c r="D97" s="32">
        <v>4.5</v>
      </c>
    </row>
    <row r="98" spans="1:4" x14ac:dyDescent="0.2">
      <c r="A98" s="44">
        <v>39356</v>
      </c>
      <c r="B98" s="32">
        <v>6.3979663789999996</v>
      </c>
      <c r="C98" s="32">
        <v>3.5</v>
      </c>
      <c r="D98" s="32">
        <v>4.5</v>
      </c>
    </row>
    <row r="99" spans="1:4" x14ac:dyDescent="0.2">
      <c r="A99" s="44">
        <v>39387</v>
      </c>
      <c r="B99" s="32">
        <v>7.3925627629999999</v>
      </c>
      <c r="C99" s="32">
        <v>3.5</v>
      </c>
      <c r="D99" s="32">
        <v>5.4</v>
      </c>
    </row>
    <row r="100" spans="1:4" x14ac:dyDescent="0.2">
      <c r="A100" s="44">
        <v>39417</v>
      </c>
      <c r="B100" s="32">
        <v>7.7843373859999998</v>
      </c>
      <c r="C100" s="32">
        <v>3.5</v>
      </c>
      <c r="D100" s="32">
        <v>5</v>
      </c>
    </row>
    <row r="101" spans="1:4" x14ac:dyDescent="0.2">
      <c r="A101" s="44">
        <v>39448</v>
      </c>
      <c r="B101" s="32">
        <v>7.4200738729999998</v>
      </c>
      <c r="C101" s="32">
        <v>3.6</v>
      </c>
      <c r="D101" s="32">
        <v>5</v>
      </c>
    </row>
    <row r="102" spans="1:4" x14ac:dyDescent="0.2">
      <c r="A102" s="44">
        <v>39479</v>
      </c>
      <c r="B102" s="32">
        <v>8.03343366</v>
      </c>
      <c r="C102" s="32">
        <v>4</v>
      </c>
      <c r="D102" s="32">
        <v>5</v>
      </c>
    </row>
    <row r="103" spans="1:4" x14ac:dyDescent="0.2">
      <c r="A103" s="44">
        <v>39508</v>
      </c>
      <c r="B103" s="32">
        <v>8.4612113109999996</v>
      </c>
      <c r="C103" s="32">
        <v>3.7</v>
      </c>
      <c r="D103" s="32">
        <v>5</v>
      </c>
    </row>
    <row r="104" spans="1:4" x14ac:dyDescent="0.2">
      <c r="A104" s="44">
        <v>39539</v>
      </c>
      <c r="B104" s="32">
        <v>8.2268959259999992</v>
      </c>
      <c r="C104" s="32">
        <v>4.2</v>
      </c>
      <c r="D104" s="32">
        <v>5</v>
      </c>
    </row>
    <row r="105" spans="1:4" x14ac:dyDescent="0.2">
      <c r="A105" s="44">
        <v>39569</v>
      </c>
      <c r="B105" s="32">
        <v>8.8009948340000008</v>
      </c>
      <c r="C105" s="32">
        <v>4</v>
      </c>
      <c r="D105" s="32">
        <v>5.5</v>
      </c>
    </row>
    <row r="106" spans="1:4" x14ac:dyDescent="0.2">
      <c r="A106" s="44">
        <v>39600</v>
      </c>
      <c r="B106" s="32">
        <v>9.3936388669999999</v>
      </c>
      <c r="C106" s="32">
        <v>4.0999999999999996</v>
      </c>
      <c r="D106" s="32">
        <v>5.5</v>
      </c>
    </row>
    <row r="107" spans="1:4" x14ac:dyDescent="0.2">
      <c r="A107" s="44">
        <v>39630</v>
      </c>
      <c r="B107" s="32">
        <v>9.4053779889999998</v>
      </c>
      <c r="C107" s="32">
        <v>4.5</v>
      </c>
      <c r="D107" s="32">
        <v>6</v>
      </c>
    </row>
    <row r="108" spans="1:4" x14ac:dyDescent="0.2">
      <c r="A108" s="44">
        <v>39661</v>
      </c>
      <c r="B108" s="32">
        <v>9.2590827079999993</v>
      </c>
      <c r="C108" s="32">
        <v>5.5</v>
      </c>
      <c r="D108" s="32">
        <v>8</v>
      </c>
    </row>
    <row r="109" spans="1:4" x14ac:dyDescent="0.2">
      <c r="A109" s="44">
        <v>39692</v>
      </c>
      <c r="B109" s="32">
        <v>9.1967281619999994</v>
      </c>
      <c r="C109" s="32">
        <v>5.5</v>
      </c>
      <c r="D109" s="32">
        <v>8</v>
      </c>
    </row>
    <row r="110" spans="1:4" x14ac:dyDescent="0.2">
      <c r="A110" s="44">
        <v>39722</v>
      </c>
      <c r="B110" s="32">
        <v>9.8281145530000007</v>
      </c>
      <c r="C110" s="32">
        <v>6</v>
      </c>
      <c r="D110" s="32">
        <v>8</v>
      </c>
    </row>
    <row r="111" spans="1:4" x14ac:dyDescent="0.2">
      <c r="A111" s="44">
        <v>39753</v>
      </c>
      <c r="B111" s="32">
        <v>8.8670501179999999</v>
      </c>
      <c r="C111" s="32">
        <v>5.3</v>
      </c>
      <c r="D111" s="32">
        <v>8</v>
      </c>
    </row>
    <row r="112" spans="1:4" x14ac:dyDescent="0.2">
      <c r="A112" s="44">
        <v>39783</v>
      </c>
      <c r="B112" s="32">
        <v>7.0916860970000002</v>
      </c>
      <c r="C112" s="32">
        <v>4.5999999999999996</v>
      </c>
      <c r="D112" s="32">
        <v>7.45</v>
      </c>
    </row>
    <row r="113" spans="1:4" x14ac:dyDescent="0.2">
      <c r="A113" s="44">
        <v>39814</v>
      </c>
      <c r="B113" s="32">
        <v>6.3061582280000001</v>
      </c>
      <c r="C113" s="32">
        <v>3.6</v>
      </c>
      <c r="D113" s="32">
        <v>6</v>
      </c>
    </row>
    <row r="114" spans="1:4" x14ac:dyDescent="0.2">
      <c r="A114" s="44">
        <v>39845</v>
      </c>
      <c r="B114" s="32">
        <v>4.5138215119999998</v>
      </c>
      <c r="C114" s="32">
        <v>3.5</v>
      </c>
      <c r="D114" s="32">
        <v>4.5</v>
      </c>
    </row>
    <row r="115" spans="1:4" x14ac:dyDescent="0.2">
      <c r="A115" s="44">
        <v>39873</v>
      </c>
      <c r="B115" s="32">
        <v>3.6988424229999999</v>
      </c>
      <c r="C115" s="32">
        <v>3</v>
      </c>
      <c r="D115" s="32">
        <v>4</v>
      </c>
    </row>
    <row r="116" spans="1:4" x14ac:dyDescent="0.2">
      <c r="A116" s="44">
        <v>39904</v>
      </c>
      <c r="B116" s="32">
        <v>3.1681581699999999</v>
      </c>
      <c r="C116" s="32">
        <v>2.9</v>
      </c>
      <c r="D116" s="32">
        <v>3</v>
      </c>
    </row>
    <row r="117" spans="1:4" x14ac:dyDescent="0.2">
      <c r="A117" s="44">
        <v>39934</v>
      </c>
      <c r="B117" s="32">
        <v>1.771404867</v>
      </c>
      <c r="C117" s="32">
        <v>2.5</v>
      </c>
      <c r="D117" s="32">
        <v>3.2</v>
      </c>
    </row>
    <row r="118" spans="1:4" x14ac:dyDescent="0.2">
      <c r="A118" s="44">
        <v>39965</v>
      </c>
      <c r="B118" s="32">
        <v>0.61782345000000005</v>
      </c>
      <c r="C118" s="32">
        <v>2.5</v>
      </c>
      <c r="D118" s="32">
        <v>3</v>
      </c>
    </row>
    <row r="119" spans="1:4" x14ac:dyDescent="0.2">
      <c r="A119" s="44">
        <v>39995</v>
      </c>
      <c r="B119" s="32">
        <v>-0.93582844600000004</v>
      </c>
      <c r="C119" s="32">
        <v>2.2000000000000002</v>
      </c>
      <c r="D119" s="32">
        <v>2.5</v>
      </c>
    </row>
    <row r="120" spans="1:4" x14ac:dyDescent="0.2">
      <c r="A120" s="44">
        <v>40026</v>
      </c>
      <c r="B120" s="32">
        <v>-2.3027698120000002</v>
      </c>
      <c r="C120" s="32">
        <v>2.1</v>
      </c>
      <c r="D120" s="32">
        <v>2.2000000000000002</v>
      </c>
    </row>
    <row r="121" spans="1:4" x14ac:dyDescent="0.2">
      <c r="A121" s="44">
        <v>40057</v>
      </c>
      <c r="B121" s="32">
        <v>-2.230925048</v>
      </c>
      <c r="C121" s="32">
        <v>2</v>
      </c>
      <c r="D121" s="32">
        <v>2</v>
      </c>
    </row>
    <row r="122" spans="1:4" x14ac:dyDescent="0.2">
      <c r="A122" s="44">
        <v>40087</v>
      </c>
      <c r="B122" s="32">
        <v>-3.094779135</v>
      </c>
      <c r="C122" s="32">
        <v>2.1</v>
      </c>
      <c r="D122" s="32">
        <v>2</v>
      </c>
    </row>
    <row r="123" spans="1:4" x14ac:dyDescent="0.2">
      <c r="A123" s="44">
        <v>40118</v>
      </c>
      <c r="B123" s="32">
        <v>-3.359957536</v>
      </c>
      <c r="C123" s="32">
        <v>2.2999999999999998</v>
      </c>
      <c r="D123" s="32">
        <v>2.5</v>
      </c>
    </row>
    <row r="124" spans="1:4" x14ac:dyDescent="0.2">
      <c r="A124" s="44">
        <v>40148</v>
      </c>
      <c r="B124" s="32">
        <v>-2.5780536430000001</v>
      </c>
      <c r="C124" s="32">
        <v>2.2999999999999998</v>
      </c>
      <c r="D124" s="32">
        <v>2.5</v>
      </c>
    </row>
    <row r="125" spans="1:4" x14ac:dyDescent="0.2">
      <c r="A125" s="44">
        <v>40179</v>
      </c>
      <c r="B125" s="32">
        <v>-1.3205882280000001</v>
      </c>
      <c r="C125" s="32">
        <v>2.2999999999999998</v>
      </c>
      <c r="D125" s="32">
        <v>2.5</v>
      </c>
    </row>
    <row r="126" spans="1:4" x14ac:dyDescent="0.2">
      <c r="A126" s="44">
        <v>40210</v>
      </c>
      <c r="B126" s="32">
        <v>0.25867081800000002</v>
      </c>
      <c r="C126" s="32">
        <v>2.5</v>
      </c>
      <c r="D126" s="32">
        <v>2.5</v>
      </c>
    </row>
    <row r="127" spans="1:4" x14ac:dyDescent="0.2">
      <c r="A127" s="44">
        <v>40238</v>
      </c>
      <c r="B127" s="32">
        <v>0.30346839199999998</v>
      </c>
      <c r="C127" s="32">
        <v>2.6</v>
      </c>
      <c r="D127" s="32">
        <v>2.8</v>
      </c>
    </row>
    <row r="128" spans="1:4" x14ac:dyDescent="0.2">
      <c r="A128" s="44">
        <v>40269</v>
      </c>
      <c r="B128" s="32">
        <v>0.92254294199999998</v>
      </c>
      <c r="C128" s="32">
        <v>3.2</v>
      </c>
      <c r="D128" s="32">
        <v>3.5</v>
      </c>
    </row>
    <row r="129" spans="1:4" x14ac:dyDescent="0.2">
      <c r="A129" s="44">
        <v>40299</v>
      </c>
      <c r="B129" s="32">
        <v>1.5030383329999999</v>
      </c>
      <c r="C129" s="32">
        <v>3.4</v>
      </c>
      <c r="D129" s="32">
        <v>3.5</v>
      </c>
    </row>
    <row r="130" spans="1:4" x14ac:dyDescent="0.2">
      <c r="A130" s="44">
        <v>40330</v>
      </c>
      <c r="B130" s="32">
        <v>1.163940432</v>
      </c>
      <c r="C130" s="32">
        <v>3.2</v>
      </c>
      <c r="D130" s="32">
        <v>3.5</v>
      </c>
    </row>
    <row r="131" spans="1:4" x14ac:dyDescent="0.2">
      <c r="A131" s="44">
        <v>40360</v>
      </c>
      <c r="B131" s="32">
        <v>2.2522962579999999</v>
      </c>
      <c r="C131" s="32">
        <v>3.4</v>
      </c>
      <c r="D131" s="32">
        <v>3.5</v>
      </c>
    </row>
    <row r="132" spans="1:4" x14ac:dyDescent="0.2">
      <c r="A132" s="44">
        <v>40391</v>
      </c>
      <c r="B132" s="32">
        <v>2.6242533909999999</v>
      </c>
      <c r="C132" s="32">
        <v>3.25</v>
      </c>
      <c r="D132" s="32">
        <v>3.5</v>
      </c>
    </row>
    <row r="133" spans="1:4" x14ac:dyDescent="0.2">
      <c r="A133" s="44">
        <v>40422</v>
      </c>
      <c r="B133" s="32">
        <v>1.876405257</v>
      </c>
      <c r="C133" s="32">
        <v>3.45</v>
      </c>
      <c r="D133" s="32">
        <v>3.5</v>
      </c>
    </row>
    <row r="134" spans="1:4" x14ac:dyDescent="0.2">
      <c r="A134" s="44">
        <v>40452</v>
      </c>
      <c r="B134" s="32">
        <v>1.9839690329999999</v>
      </c>
      <c r="C134" s="32">
        <v>3.3</v>
      </c>
      <c r="D134" s="32">
        <v>3.5</v>
      </c>
    </row>
    <row r="135" spans="1:4" x14ac:dyDescent="0.2">
      <c r="A135" s="44">
        <v>40483</v>
      </c>
      <c r="B135" s="32">
        <v>2.4613393860000001</v>
      </c>
      <c r="C135" s="32">
        <v>3.1</v>
      </c>
      <c r="D135" s="32">
        <v>3.5</v>
      </c>
    </row>
    <row r="136" spans="1:4" x14ac:dyDescent="0.2">
      <c r="A136" s="44">
        <v>40513</v>
      </c>
      <c r="B136" s="32">
        <v>2.9728681109999999</v>
      </c>
      <c r="C136" s="32">
        <v>3.1</v>
      </c>
      <c r="D136" s="32">
        <v>3.3</v>
      </c>
    </row>
    <row r="137" spans="1:4" x14ac:dyDescent="0.2">
      <c r="A137" s="44">
        <v>40544</v>
      </c>
      <c r="B137" s="32">
        <v>2.7192676100000002</v>
      </c>
      <c r="C137" s="32">
        <v>3.2</v>
      </c>
      <c r="D137" s="32">
        <v>3.2</v>
      </c>
    </row>
    <row r="138" spans="1:4" x14ac:dyDescent="0.2">
      <c r="A138" s="44">
        <v>40575</v>
      </c>
      <c r="B138" s="32">
        <v>2.667120057</v>
      </c>
      <c r="C138" s="32">
        <v>3.55</v>
      </c>
      <c r="D138" s="32">
        <v>3.5</v>
      </c>
    </row>
    <row r="139" spans="1:4" x14ac:dyDescent="0.2">
      <c r="A139" s="44">
        <v>40603</v>
      </c>
      <c r="B139" s="32">
        <v>3.3652925260000002</v>
      </c>
      <c r="C139" s="32">
        <v>3.8</v>
      </c>
      <c r="D139" s="32">
        <v>3.7</v>
      </c>
    </row>
    <row r="140" spans="1:4" x14ac:dyDescent="0.2">
      <c r="A140" s="44">
        <v>40634</v>
      </c>
      <c r="B140" s="32">
        <v>3.217910593</v>
      </c>
      <c r="C140" s="32">
        <v>4.0449999999999999</v>
      </c>
      <c r="D140" s="32">
        <v>4.05</v>
      </c>
    </row>
    <row r="141" spans="1:4" x14ac:dyDescent="0.2">
      <c r="A141" s="44">
        <v>40664</v>
      </c>
      <c r="B141" s="32">
        <v>3.2590621999999998</v>
      </c>
      <c r="C141" s="32">
        <v>4</v>
      </c>
      <c r="D141" s="32">
        <v>4</v>
      </c>
    </row>
    <row r="142" spans="1:4" x14ac:dyDescent="0.2">
      <c r="A142" s="44">
        <v>40695</v>
      </c>
      <c r="B142" s="32">
        <v>3.4339216459999999</v>
      </c>
      <c r="C142" s="32">
        <v>4</v>
      </c>
      <c r="D142" s="32">
        <v>4</v>
      </c>
    </row>
    <row r="143" spans="1:4" x14ac:dyDescent="0.2">
      <c r="A143" s="44">
        <v>40725</v>
      </c>
      <c r="B143" s="32">
        <v>2.9041992429999999</v>
      </c>
      <c r="C143" s="32">
        <v>3.7</v>
      </c>
      <c r="D143" s="32">
        <v>4</v>
      </c>
    </row>
    <row r="144" spans="1:4" x14ac:dyDescent="0.2">
      <c r="A144" s="44">
        <v>40756</v>
      </c>
      <c r="B144" s="32">
        <v>3.1724843069999999</v>
      </c>
      <c r="C144" s="32">
        <v>3.5</v>
      </c>
      <c r="D144" s="32">
        <v>4</v>
      </c>
    </row>
    <row r="145" spans="1:20" x14ac:dyDescent="0.2">
      <c r="A145" s="44">
        <v>40787</v>
      </c>
      <c r="B145" s="32">
        <v>3.272251786</v>
      </c>
      <c r="C145" s="32">
        <v>3.2</v>
      </c>
      <c r="D145" s="32">
        <v>4</v>
      </c>
      <c r="F145" s="3"/>
    </row>
    <row r="146" spans="1:20" x14ac:dyDescent="0.2">
      <c r="A146" s="44">
        <v>40817</v>
      </c>
      <c r="B146" s="32">
        <v>3.6719000409999998</v>
      </c>
      <c r="C146" s="32">
        <v>3</v>
      </c>
      <c r="D146" s="32">
        <v>3.5</v>
      </c>
    </row>
    <row r="147" spans="1:20" x14ac:dyDescent="0.2">
      <c r="A147" s="44">
        <v>40848</v>
      </c>
      <c r="B147" s="32">
        <v>3.9277117050000001</v>
      </c>
      <c r="C147" s="32">
        <v>3</v>
      </c>
      <c r="D147" s="32">
        <v>3.5</v>
      </c>
    </row>
    <row r="148" spans="1:20" x14ac:dyDescent="0.2">
      <c r="A148" s="33">
        <v>40878</v>
      </c>
      <c r="B148" s="31">
        <v>4.4377327979999999</v>
      </c>
      <c r="C148" s="32">
        <v>3</v>
      </c>
      <c r="D148" s="32">
        <v>3.5</v>
      </c>
      <c r="E148" s="8"/>
      <c r="F148" s="3"/>
      <c r="G148" s="8"/>
      <c r="I148" s="7"/>
      <c r="J148" s="7"/>
      <c r="K148" s="7"/>
      <c r="L148" s="7"/>
      <c r="M148" s="7"/>
      <c r="N148" s="7"/>
      <c r="O148" s="7"/>
      <c r="P148" s="7"/>
      <c r="Q148" s="7"/>
      <c r="R148" s="7"/>
      <c r="S148" s="7"/>
      <c r="T148" s="7"/>
    </row>
    <row r="149" spans="1:20" x14ac:dyDescent="0.2">
      <c r="A149" s="44">
        <v>40909</v>
      </c>
      <c r="B149" s="1">
        <v>4.2474617290000003</v>
      </c>
      <c r="C149" s="32">
        <v>2.9</v>
      </c>
      <c r="D149" s="32">
        <v>3.6709876543209901</v>
      </c>
      <c r="E149" s="18">
        <f>B147</f>
        <v>3.9277117050000001</v>
      </c>
      <c r="F149" s="18">
        <f>AVERAGE($B$4:B147)</f>
        <v>3.1907553627708327</v>
      </c>
      <c r="G149" s="18">
        <f>AVERAGE(B98:B147)</f>
        <v>3.6749275098999994</v>
      </c>
      <c r="H149" s="19">
        <v>3</v>
      </c>
      <c r="I149" s="30">
        <f>B149-C149</f>
        <v>1.3474617290000004</v>
      </c>
      <c r="J149" s="30">
        <f>B149-D149</f>
        <v>0.57647407467901024</v>
      </c>
      <c r="K149" s="30">
        <f>B149-E149</f>
        <v>0.31975002400000019</v>
      </c>
      <c r="L149" s="30">
        <f t="shared" ref="L149:L211" si="0">B149-F149</f>
        <v>1.0567063662291676</v>
      </c>
      <c r="M149" s="30">
        <f t="shared" ref="M149:M211" si="1">B149-G149</f>
        <v>0.57253421910000091</v>
      </c>
      <c r="N149" s="30">
        <f t="shared" ref="N149:N212" si="2">B149-H149</f>
        <v>1.2474617290000003</v>
      </c>
      <c r="O149" s="28">
        <f t="shared" ref="O149:T203" si="3">I149^2</f>
        <v>1.8156531111196705</v>
      </c>
      <c r="P149" s="28">
        <f t="shared" ref="P149:T163" si="4">J149^2</f>
        <v>0.3323223587770211</v>
      </c>
      <c r="Q149" s="28">
        <f t="shared" si="4"/>
        <v>0.1022400778480007</v>
      </c>
      <c r="R149" s="28">
        <f t="shared" si="4"/>
        <v>1.1166283444292517</v>
      </c>
      <c r="S149" s="28">
        <f t="shared" si="4"/>
        <v>0.32779543204044786</v>
      </c>
      <c r="T149" s="28">
        <f t="shared" si="4"/>
        <v>1.5561607653196703</v>
      </c>
    </row>
    <row r="150" spans="1:20" x14ac:dyDescent="0.2">
      <c r="A150" s="44">
        <v>40940</v>
      </c>
      <c r="B150" s="1">
        <v>4.4121148809999999</v>
      </c>
      <c r="C150" s="1">
        <v>3</v>
      </c>
      <c r="D150" s="1">
        <v>3.8027210884353799</v>
      </c>
      <c r="E150" s="18">
        <f>B148</f>
        <v>4.4377327979999999</v>
      </c>
      <c r="F150" s="18">
        <f>AVERAGE($B$4:B148)</f>
        <v>3.1993552071517235</v>
      </c>
      <c r="G150" s="18">
        <f t="shared" ref="G150:G213" si="5">AVERAGE(B99:B148)</f>
        <v>3.6357228382799986</v>
      </c>
      <c r="H150" s="19">
        <v>3</v>
      </c>
      <c r="I150" s="30">
        <f t="shared" ref="I150:I213" si="6">B150-C150</f>
        <v>1.4121148809999999</v>
      </c>
      <c r="J150" s="30">
        <f t="shared" ref="J150:J213" si="7">B150-D150</f>
        <v>0.60939379256462001</v>
      </c>
      <c r="K150" s="30">
        <f t="shared" ref="K150:K211" si="8">B150-E150</f>
        <v>-2.5617916999999935E-2</v>
      </c>
      <c r="L150" s="30">
        <f t="shared" si="0"/>
        <v>1.2127596738482764</v>
      </c>
      <c r="M150" s="30">
        <f t="shared" si="1"/>
        <v>0.77639204272000129</v>
      </c>
      <c r="N150" s="30">
        <f t="shared" si="2"/>
        <v>1.4121148809999999</v>
      </c>
      <c r="O150" s="28">
        <f t="shared" si="3"/>
        <v>1.9940684371416439</v>
      </c>
      <c r="P150" s="28">
        <f t="shared" si="4"/>
        <v>0.37136079441629111</v>
      </c>
      <c r="Q150" s="28">
        <f t="shared" si="4"/>
        <v>6.5627767141888569E-4</v>
      </c>
      <c r="R150" s="28">
        <f t="shared" si="4"/>
        <v>1.4707860265125778</v>
      </c>
      <c r="S150" s="28">
        <f t="shared" si="4"/>
        <v>0.6027846039989363</v>
      </c>
      <c r="T150" s="28">
        <f t="shared" si="4"/>
        <v>1.9940684371416439</v>
      </c>
    </row>
    <row r="151" spans="1:20" x14ac:dyDescent="0.2">
      <c r="A151" s="44">
        <v>40969</v>
      </c>
      <c r="B151" s="1">
        <v>3.7888494170000002</v>
      </c>
      <c r="C151" s="1">
        <v>3</v>
      </c>
      <c r="D151" s="1">
        <v>3.7865497076023402</v>
      </c>
      <c r="E151" s="18">
        <f>B149</f>
        <v>4.2474617290000003</v>
      </c>
      <c r="F151" s="18">
        <f>AVERAGE($B$4:B149)</f>
        <v>3.206534018945205</v>
      </c>
      <c r="G151" s="18">
        <f t="shared" si="5"/>
        <v>3.5728208175999994</v>
      </c>
      <c r="H151" s="19">
        <v>3</v>
      </c>
      <c r="I151" s="30">
        <f t="shared" si="6"/>
        <v>0.78884941700000022</v>
      </c>
      <c r="J151" s="30">
        <f t="shared" si="7"/>
        <v>2.2997093976599992E-3</v>
      </c>
      <c r="K151" s="30">
        <f t="shared" si="8"/>
        <v>-0.45861231200000008</v>
      </c>
      <c r="L151" s="30">
        <f t="shared" si="0"/>
        <v>0.58231539805479526</v>
      </c>
      <c r="M151" s="30">
        <f t="shared" si="1"/>
        <v>0.21602859940000085</v>
      </c>
      <c r="N151" s="30">
        <f t="shared" si="2"/>
        <v>0.78884941700000022</v>
      </c>
      <c r="O151" s="28">
        <f t="shared" si="3"/>
        <v>0.62228340270124027</v>
      </c>
      <c r="P151" s="28">
        <f t="shared" si="4"/>
        <v>5.2886633136857165E-6</v>
      </c>
      <c r="Q151" s="28">
        <f t="shared" si="4"/>
        <v>0.21032525271798541</v>
      </c>
      <c r="R151" s="28">
        <f t="shared" si="4"/>
        <v>0.33909122281171467</v>
      </c>
      <c r="S151" s="28">
        <f t="shared" si="4"/>
        <v>4.6668355758726049E-2</v>
      </c>
      <c r="T151" s="28">
        <f t="shared" si="4"/>
        <v>0.62228340270124027</v>
      </c>
    </row>
    <row r="152" spans="1:20" x14ac:dyDescent="0.2">
      <c r="A152" s="44">
        <v>41000</v>
      </c>
      <c r="B152" s="1">
        <v>3.5113179140000002</v>
      </c>
      <c r="C152" s="1">
        <v>3.2</v>
      </c>
      <c r="D152" s="1">
        <v>3.875</v>
      </c>
      <c r="E152" s="18">
        <f t="shared" ref="E152:E213" si="9">B150</f>
        <v>4.4121148809999999</v>
      </c>
      <c r="F152" s="18">
        <f>AVERAGE($B$4:B150)</f>
        <v>3.2147352492993191</v>
      </c>
      <c r="G152" s="18">
        <f t="shared" si="5"/>
        <v>3.5053763674999998</v>
      </c>
      <c r="H152" s="19">
        <v>3</v>
      </c>
      <c r="I152" s="30">
        <f t="shared" si="6"/>
        <v>0.31131791399999997</v>
      </c>
      <c r="J152" s="30">
        <f t="shared" si="7"/>
        <v>-0.36368208599999985</v>
      </c>
      <c r="K152" s="30">
        <f t="shared" si="8"/>
        <v>-0.90079696699999978</v>
      </c>
      <c r="L152" s="30">
        <f t="shared" si="0"/>
        <v>0.29658266470068106</v>
      </c>
      <c r="M152" s="30">
        <f t="shared" si="1"/>
        <v>5.9415465000003387E-3</v>
      </c>
      <c r="N152" s="30">
        <f t="shared" si="2"/>
        <v>0.51131791400000015</v>
      </c>
      <c r="O152" s="28">
        <f t="shared" si="3"/>
        <v>9.6918843577311384E-2</v>
      </c>
      <c r="P152" s="28">
        <f t="shared" si="4"/>
        <v>0.1322646596773113</v>
      </c>
      <c r="Q152" s="28">
        <f t="shared" si="4"/>
        <v>0.81143517575639867</v>
      </c>
      <c r="R152" s="28">
        <f t="shared" si="4"/>
        <v>8.7961277000956614E-2</v>
      </c>
      <c r="S152" s="28">
        <f t="shared" si="4"/>
        <v>3.5301974811666276E-5</v>
      </c>
      <c r="T152" s="28">
        <f t="shared" si="4"/>
        <v>0.26144600917731153</v>
      </c>
    </row>
    <row r="153" spans="1:20" x14ac:dyDescent="0.2">
      <c r="A153" s="44">
        <v>41030</v>
      </c>
      <c r="B153" s="1">
        <v>3.1307115250000002</v>
      </c>
      <c r="C153" s="1">
        <v>3.3</v>
      </c>
      <c r="D153" s="1">
        <v>3.8891566265060198</v>
      </c>
      <c r="E153" s="18">
        <f t="shared" si="9"/>
        <v>3.7888494170000002</v>
      </c>
      <c r="F153" s="18">
        <f>AVERAGE($B$4:B151)</f>
        <v>3.2186143990810807</v>
      </c>
      <c r="G153" s="18">
        <f t="shared" si="5"/>
        <v>3.4327518783800004</v>
      </c>
      <c r="H153" s="19">
        <v>3</v>
      </c>
      <c r="I153" s="30">
        <f t="shared" si="6"/>
        <v>-0.16928847499999966</v>
      </c>
      <c r="J153" s="30">
        <f t="shared" si="7"/>
        <v>-0.75844510150601963</v>
      </c>
      <c r="K153" s="30">
        <f t="shared" si="8"/>
        <v>-0.65813789200000006</v>
      </c>
      <c r="L153" s="30">
        <f t="shared" si="0"/>
        <v>-8.7902874081080551E-2</v>
      </c>
      <c r="M153" s="30">
        <f t="shared" si="1"/>
        <v>-0.30204035338000024</v>
      </c>
      <c r="N153" s="30">
        <f t="shared" si="2"/>
        <v>0.13071152500000016</v>
      </c>
      <c r="O153" s="28">
        <f t="shared" si="3"/>
        <v>2.8658587767825511E-2</v>
      </c>
      <c r="P153" s="28">
        <f t="shared" si="4"/>
        <v>0.5752389719984764</v>
      </c>
      <c r="Q153" s="28">
        <f t="shared" si="4"/>
        <v>0.43314548488620375</v>
      </c>
      <c r="R153" s="28">
        <f t="shared" si="4"/>
        <v>7.726915271714303E-3</v>
      </c>
      <c r="S153" s="28">
        <f t="shared" si="4"/>
        <v>9.1228375069915421E-2</v>
      </c>
      <c r="T153" s="28">
        <f t="shared" si="4"/>
        <v>1.7085502767825667E-2</v>
      </c>
    </row>
    <row r="154" spans="1:20" x14ac:dyDescent="0.2">
      <c r="A154" s="44">
        <v>41061</v>
      </c>
      <c r="B154" s="1">
        <v>2.65108839</v>
      </c>
      <c r="C154" s="1">
        <v>3.3</v>
      </c>
      <c r="D154" s="1">
        <v>3.7082122905027899</v>
      </c>
      <c r="E154" s="18">
        <f t="shared" si="9"/>
        <v>3.5113179140000002</v>
      </c>
      <c r="F154" s="18">
        <f>AVERAGE($B$4:B152)</f>
        <v>3.2205788522013417</v>
      </c>
      <c r="G154" s="18">
        <f t="shared" si="5"/>
        <v>3.3423095634600002</v>
      </c>
      <c r="H154" s="19">
        <v>3</v>
      </c>
      <c r="I154" s="30">
        <f t="shared" si="6"/>
        <v>-0.64891160999999986</v>
      </c>
      <c r="J154" s="30">
        <f t="shared" si="7"/>
        <v>-1.0571239005027899</v>
      </c>
      <c r="K154" s="30">
        <f t="shared" si="8"/>
        <v>-0.86022952400000019</v>
      </c>
      <c r="L154" s="30">
        <f t="shared" si="0"/>
        <v>-0.5694904622013417</v>
      </c>
      <c r="M154" s="30">
        <f t="shared" si="1"/>
        <v>-0.69122117346000023</v>
      </c>
      <c r="N154" s="30">
        <f t="shared" si="2"/>
        <v>-0.34891161000000004</v>
      </c>
      <c r="O154" s="28">
        <f t="shared" si="3"/>
        <v>0.42108627759279194</v>
      </c>
      <c r="P154" s="28">
        <f t="shared" si="4"/>
        <v>1.1175109410142325</v>
      </c>
      <c r="Q154" s="28">
        <f t="shared" si="4"/>
        <v>0.73999483396126686</v>
      </c>
      <c r="R154" s="28">
        <f t="shared" si="4"/>
        <v>0.32431938653829778</v>
      </c>
      <c r="S154" s="28">
        <f t="shared" si="4"/>
        <v>0.47778671063941974</v>
      </c>
      <c r="T154" s="28">
        <f t="shared" si="4"/>
        <v>0.12173931159279212</v>
      </c>
    </row>
    <row r="155" spans="1:20" x14ac:dyDescent="0.2">
      <c r="A155" s="44">
        <v>41091</v>
      </c>
      <c r="B155" s="1">
        <v>2.5074451139999998</v>
      </c>
      <c r="C155" s="1">
        <v>3</v>
      </c>
      <c r="D155" s="1">
        <v>3.5587096774193601</v>
      </c>
      <c r="E155" s="18">
        <f t="shared" si="9"/>
        <v>3.1307115250000002</v>
      </c>
      <c r="F155" s="18">
        <f>AVERAGE($B$4:B153)</f>
        <v>3.2199797366866663</v>
      </c>
      <c r="G155" s="18">
        <f t="shared" si="5"/>
        <v>3.2356995677400011</v>
      </c>
      <c r="H155" s="19">
        <v>3</v>
      </c>
      <c r="I155" s="30">
        <f t="shared" si="6"/>
        <v>-0.49255488600000019</v>
      </c>
      <c r="J155" s="30">
        <f t="shared" si="7"/>
        <v>-1.0512645634193603</v>
      </c>
      <c r="K155" s="30">
        <f t="shared" si="8"/>
        <v>-0.62326641100000035</v>
      </c>
      <c r="L155" s="30">
        <f t="shared" si="0"/>
        <v>-0.71253462268666645</v>
      </c>
      <c r="M155" s="30">
        <f t="shared" si="1"/>
        <v>-0.72825445374000131</v>
      </c>
      <c r="N155" s="30">
        <f t="shared" si="2"/>
        <v>-0.49255488600000019</v>
      </c>
      <c r="O155" s="28">
        <f t="shared" si="3"/>
        <v>0.24261031572247319</v>
      </c>
      <c r="P155" s="28">
        <f t="shared" si="4"/>
        <v>1.1051571823012982</v>
      </c>
      <c r="Q155" s="28">
        <f t="shared" si="4"/>
        <v>0.38846101908082137</v>
      </c>
      <c r="R155" s="28">
        <f t="shared" si="4"/>
        <v>0.50770558852723013</v>
      </c>
      <c r="S155" s="28">
        <f t="shared" si="4"/>
        <v>0.53035454939214766</v>
      </c>
      <c r="T155" s="28">
        <f t="shared" si="4"/>
        <v>0.24261031572247319</v>
      </c>
    </row>
    <row r="156" spans="1:20" x14ac:dyDescent="0.2">
      <c r="A156" s="44">
        <v>41122</v>
      </c>
      <c r="B156" s="1">
        <v>2.5678298860000002</v>
      </c>
      <c r="C156" s="1">
        <v>2.9</v>
      </c>
      <c r="D156" s="1">
        <v>3.2641509433962299</v>
      </c>
      <c r="E156" s="18">
        <f t="shared" si="9"/>
        <v>2.65108839</v>
      </c>
      <c r="F156" s="18">
        <f>AVERAGE($B$4:B154)</f>
        <v>3.2162122443245025</v>
      </c>
      <c r="G156" s="18">
        <f t="shared" si="5"/>
        <v>3.1241834170200011</v>
      </c>
      <c r="H156" s="19">
        <v>3</v>
      </c>
      <c r="I156" s="30">
        <f t="shared" si="6"/>
        <v>-0.33217011399999974</v>
      </c>
      <c r="J156" s="30">
        <f t="shared" si="7"/>
        <v>-0.69632105739622974</v>
      </c>
      <c r="K156" s="30">
        <f t="shared" si="8"/>
        <v>-8.3258503999999789E-2</v>
      </c>
      <c r="L156" s="30">
        <f t="shared" si="0"/>
        <v>-0.64838235832450231</v>
      </c>
      <c r="M156" s="30">
        <f t="shared" si="1"/>
        <v>-0.55635353102000096</v>
      </c>
      <c r="N156" s="30">
        <f t="shared" si="2"/>
        <v>-0.43217011399999983</v>
      </c>
      <c r="O156" s="28">
        <f t="shared" si="3"/>
        <v>0.11033698463477282</v>
      </c>
      <c r="P156" s="28">
        <f t="shared" si="4"/>
        <v>0.48486301497340345</v>
      </c>
      <c r="Q156" s="28">
        <f t="shared" si="4"/>
        <v>6.9319784883179808E-3</v>
      </c>
      <c r="R156" s="28">
        <f t="shared" si="4"/>
        <v>0.42039968258644328</v>
      </c>
      <c r="S156" s="28">
        <f t="shared" si="4"/>
        <v>0.3095292514784232</v>
      </c>
      <c r="T156" s="28">
        <f t="shared" si="4"/>
        <v>0.18677100743477285</v>
      </c>
    </row>
    <row r="157" spans="1:20" x14ac:dyDescent="0.2">
      <c r="A157" s="44">
        <v>41153</v>
      </c>
      <c r="B157" s="1">
        <v>2.8449680590000002</v>
      </c>
      <c r="C157" s="1">
        <v>2.9</v>
      </c>
      <c r="D157" s="1">
        <v>3.1270270270270299</v>
      </c>
      <c r="E157" s="18">
        <f t="shared" si="9"/>
        <v>2.5074451139999998</v>
      </c>
      <c r="F157" s="18">
        <f>AVERAGE($B$4:B155)</f>
        <v>3.2115493026776307</v>
      </c>
      <c r="G157" s="18">
        <f t="shared" si="5"/>
        <v>2.9983124226200011</v>
      </c>
      <c r="H157" s="19">
        <v>3</v>
      </c>
      <c r="I157" s="30">
        <f t="shared" si="6"/>
        <v>-5.5031940999999751E-2</v>
      </c>
      <c r="J157" s="30">
        <f t="shared" si="7"/>
        <v>-0.28205896802702979</v>
      </c>
      <c r="K157" s="30">
        <f t="shared" si="8"/>
        <v>0.33752294500000035</v>
      </c>
      <c r="L157" s="30">
        <f t="shared" si="0"/>
        <v>-0.36658124367763056</v>
      </c>
      <c r="M157" s="30">
        <f t="shared" si="1"/>
        <v>-0.15334436362000092</v>
      </c>
      <c r="N157" s="30">
        <f t="shared" si="2"/>
        <v>-0.15503194099999984</v>
      </c>
      <c r="O157" s="28">
        <f t="shared" si="3"/>
        <v>3.0285145302274535E-3</v>
      </c>
      <c r="P157" s="28">
        <f t="shared" si="4"/>
        <v>7.9557261444473018E-2</v>
      </c>
      <c r="Q157" s="28">
        <f t="shared" si="4"/>
        <v>0.11392173840147327</v>
      </c>
      <c r="R157" s="28">
        <f t="shared" si="4"/>
        <v>0.13438180821623835</v>
      </c>
      <c r="S157" s="28">
        <f t="shared" si="4"/>
        <v>2.3514493854023061E-2</v>
      </c>
      <c r="T157" s="28">
        <f t="shared" si="4"/>
        <v>2.4034902730227431E-2</v>
      </c>
    </row>
    <row r="158" spans="1:20" x14ac:dyDescent="0.2">
      <c r="A158" s="44">
        <v>41183</v>
      </c>
      <c r="B158" s="1">
        <v>2.9199481629999999</v>
      </c>
      <c r="C158" s="1">
        <v>3</v>
      </c>
      <c r="D158" s="1">
        <v>3.1348993288590599</v>
      </c>
      <c r="E158" s="18">
        <f t="shared" si="9"/>
        <v>2.5678298860000002</v>
      </c>
      <c r="F158" s="18">
        <f>AVERAGE($B$4:B156)</f>
        <v>3.2073419862287578</v>
      </c>
      <c r="G158" s="18">
        <f t="shared" si="5"/>
        <v>2.8617962430000006</v>
      </c>
      <c r="H158" s="19">
        <v>3</v>
      </c>
      <c r="I158" s="30">
        <f t="shared" si="6"/>
        <v>-8.005183700000007E-2</v>
      </c>
      <c r="J158" s="30">
        <f t="shared" si="7"/>
        <v>-0.21495116585905993</v>
      </c>
      <c r="K158" s="30">
        <f t="shared" si="8"/>
        <v>0.35211827699999976</v>
      </c>
      <c r="L158" s="30">
        <f t="shared" si="0"/>
        <v>-0.28739382322875784</v>
      </c>
      <c r="M158" s="30">
        <f t="shared" si="1"/>
        <v>5.8151919999999357E-2</v>
      </c>
      <c r="N158" s="30">
        <f t="shared" si="2"/>
        <v>-8.005183700000007E-2</v>
      </c>
      <c r="O158" s="28">
        <f t="shared" si="3"/>
        <v>6.4082966070745798E-3</v>
      </c>
      <c r="P158" s="28">
        <f t="shared" si="4"/>
        <v>4.6204003704169092E-2</v>
      </c>
      <c r="Q158" s="28">
        <f t="shared" si="4"/>
        <v>0.12398728099744856</v>
      </c>
      <c r="R158" s="28">
        <f t="shared" si="4"/>
        <v>8.2595209630042507E-2</v>
      </c>
      <c r="S158" s="28">
        <f t="shared" si="4"/>
        <v>3.3816457996863254E-3</v>
      </c>
      <c r="T158" s="28">
        <f t="shared" si="4"/>
        <v>6.4082966070745798E-3</v>
      </c>
    </row>
    <row r="159" spans="1:20" x14ac:dyDescent="0.2">
      <c r="A159" s="44">
        <v>41214</v>
      </c>
      <c r="B159" s="1">
        <v>2.1323437709999999</v>
      </c>
      <c r="C159" s="1">
        <v>3</v>
      </c>
      <c r="D159" s="1">
        <v>3.2374999999999998</v>
      </c>
      <c r="E159" s="18">
        <f t="shared" si="9"/>
        <v>2.8449680590000002</v>
      </c>
      <c r="F159" s="18">
        <f>AVERAGE($B$4:B157)</f>
        <v>3.2049889087792205</v>
      </c>
      <c r="G159" s="18">
        <f t="shared" si="5"/>
        <v>2.7305880443999997</v>
      </c>
      <c r="H159" s="19">
        <v>3</v>
      </c>
      <c r="I159" s="30">
        <f t="shared" si="6"/>
        <v>-0.86765622900000006</v>
      </c>
      <c r="J159" s="30">
        <f t="shared" si="7"/>
        <v>-1.1051562289999999</v>
      </c>
      <c r="K159" s="30">
        <f t="shared" si="8"/>
        <v>-0.71262428800000022</v>
      </c>
      <c r="L159" s="30">
        <f t="shared" si="0"/>
        <v>-1.0726451377792205</v>
      </c>
      <c r="M159" s="30">
        <f t="shared" si="1"/>
        <v>-0.59824427339999975</v>
      </c>
      <c r="N159" s="30">
        <f t="shared" si="2"/>
        <v>-0.86765622900000006</v>
      </c>
      <c r="O159" s="28">
        <f t="shared" si="3"/>
        <v>0.75282733172250049</v>
      </c>
      <c r="P159" s="28">
        <f t="shared" si="4"/>
        <v>1.2213702904975001</v>
      </c>
      <c r="Q159" s="28">
        <f t="shared" si="4"/>
        <v>0.50783337584750721</v>
      </c>
      <c r="R159" s="28">
        <f t="shared" si="4"/>
        <v>1.1505675916014031</v>
      </c>
      <c r="S159" s="28">
        <f t="shared" si="4"/>
        <v>0.35789621065589367</v>
      </c>
      <c r="T159" s="28">
        <f t="shared" si="4"/>
        <v>0.75282733172250049</v>
      </c>
    </row>
    <row r="160" spans="1:20" x14ac:dyDescent="0.2">
      <c r="A160" s="44">
        <v>41244</v>
      </c>
      <c r="B160" s="1">
        <v>1.486964626</v>
      </c>
      <c r="C160" s="1">
        <v>3</v>
      </c>
      <c r="D160" s="1">
        <v>3.2327380952381</v>
      </c>
      <c r="E160" s="18">
        <f t="shared" si="9"/>
        <v>2.9199481629999999</v>
      </c>
      <c r="F160" s="18">
        <f>AVERAGE($B$4:B158)</f>
        <v>3.203149936225806</v>
      </c>
      <c r="G160" s="18">
        <f t="shared" si="5"/>
        <v>2.603805353499999</v>
      </c>
      <c r="H160" s="19">
        <v>3</v>
      </c>
      <c r="I160" s="30">
        <f t="shared" si="6"/>
        <v>-1.513035374</v>
      </c>
      <c r="J160" s="30">
        <f t="shared" si="7"/>
        <v>-1.7457734692381</v>
      </c>
      <c r="K160" s="30">
        <f t="shared" si="8"/>
        <v>-1.4329835369999999</v>
      </c>
      <c r="L160" s="30">
        <f t="shared" si="0"/>
        <v>-1.716185310225806</v>
      </c>
      <c r="M160" s="30">
        <f t="shared" si="1"/>
        <v>-1.116840727499999</v>
      </c>
      <c r="N160" s="30">
        <f t="shared" si="2"/>
        <v>-1.513035374</v>
      </c>
      <c r="O160" s="28">
        <f t="shared" si="3"/>
        <v>2.2892760429753198</v>
      </c>
      <c r="P160" s="28">
        <f t="shared" si="4"/>
        <v>3.0477250058956313</v>
      </c>
      <c r="Q160" s="28">
        <f t="shared" si="4"/>
        <v>2.05344181731303</v>
      </c>
      <c r="R160" s="28">
        <f t="shared" si="4"/>
        <v>2.9452920190348459</v>
      </c>
      <c r="S160" s="28">
        <f t="shared" si="4"/>
        <v>1.2473332106027268</v>
      </c>
      <c r="T160" s="28">
        <f t="shared" si="4"/>
        <v>2.2892760429753198</v>
      </c>
    </row>
    <row r="161" spans="1:20" x14ac:dyDescent="0.2">
      <c r="A161" s="44">
        <v>41275</v>
      </c>
      <c r="B161" s="1">
        <v>1.577965321</v>
      </c>
      <c r="C161" s="1">
        <v>3</v>
      </c>
      <c r="D161" s="1">
        <v>3.10994152046784</v>
      </c>
      <c r="E161" s="18">
        <f t="shared" si="9"/>
        <v>2.1323437709999999</v>
      </c>
      <c r="F161" s="18">
        <f>AVERAGE($B$4:B159)</f>
        <v>3.1962857941410254</v>
      </c>
      <c r="G161" s="18">
        <f t="shared" si="5"/>
        <v>2.4625176656799992</v>
      </c>
      <c r="H161" s="19">
        <v>3</v>
      </c>
      <c r="I161" s="30">
        <f t="shared" si="6"/>
        <v>-1.422034679</v>
      </c>
      <c r="J161" s="30">
        <f t="shared" si="7"/>
        <v>-1.53197619946784</v>
      </c>
      <c r="K161" s="30">
        <f t="shared" si="8"/>
        <v>-0.55437844999999997</v>
      </c>
      <c r="L161" s="30">
        <f t="shared" si="0"/>
        <v>-1.6183204731410255</v>
      </c>
      <c r="M161" s="30">
        <f t="shared" si="1"/>
        <v>-0.88455234467999921</v>
      </c>
      <c r="N161" s="30">
        <f t="shared" si="2"/>
        <v>-1.422034679</v>
      </c>
      <c r="O161" s="28">
        <f t="shared" si="3"/>
        <v>2.022182628278633</v>
      </c>
      <c r="P161" s="28">
        <f t="shared" si="4"/>
        <v>2.3469510757359271</v>
      </c>
      <c r="Q161" s="28">
        <f t="shared" si="4"/>
        <v>0.30733546582440247</v>
      </c>
      <c r="R161" s="28">
        <f t="shared" si="4"/>
        <v>2.6189611537873927</v>
      </c>
      <c r="S161" s="28">
        <f t="shared" si="4"/>
        <v>0.78243285047888411</v>
      </c>
      <c r="T161" s="28">
        <f t="shared" si="4"/>
        <v>2.022182628278633</v>
      </c>
    </row>
    <row r="162" spans="1:20" x14ac:dyDescent="0.2">
      <c r="A162" s="44">
        <v>41306</v>
      </c>
      <c r="B162" s="1">
        <v>1.3049116350000001</v>
      </c>
      <c r="C162" s="1">
        <v>3</v>
      </c>
      <c r="D162" s="1">
        <v>3.0530487804878099</v>
      </c>
      <c r="E162" s="18">
        <f t="shared" si="9"/>
        <v>1.486964626</v>
      </c>
      <c r="F162" s="18">
        <f>AVERAGE($B$4:B160)</f>
        <v>3.1853983981656047</v>
      </c>
      <c r="G162" s="18">
        <f t="shared" si="5"/>
        <v>2.2956946671399994</v>
      </c>
      <c r="H162" s="19">
        <v>3</v>
      </c>
      <c r="I162" s="30">
        <f t="shared" si="6"/>
        <v>-1.6950883649999999</v>
      </c>
      <c r="J162" s="30">
        <f t="shared" si="7"/>
        <v>-1.7481371454878099</v>
      </c>
      <c r="K162" s="30">
        <f t="shared" si="8"/>
        <v>-0.18205299099999994</v>
      </c>
      <c r="L162" s="30">
        <f t="shared" si="0"/>
        <v>-1.8804867631656046</v>
      </c>
      <c r="M162" s="30">
        <f t="shared" si="1"/>
        <v>-0.9907830321399993</v>
      </c>
      <c r="N162" s="30">
        <f t="shared" si="2"/>
        <v>-1.6950883649999999</v>
      </c>
      <c r="O162" s="28">
        <f t="shared" si="3"/>
        <v>2.8733245651583732</v>
      </c>
      <c r="P162" s="28">
        <f t="shared" si="4"/>
        <v>3.0559834794342682</v>
      </c>
      <c r="Q162" s="28">
        <f t="shared" si="4"/>
        <v>3.3143291532046058E-2</v>
      </c>
      <c r="R162" s="28">
        <f t="shared" si="4"/>
        <v>3.5362304664410527</v>
      </c>
      <c r="S162" s="28">
        <f t="shared" si="4"/>
        <v>0.98165101677653088</v>
      </c>
      <c r="T162" s="28">
        <f t="shared" si="4"/>
        <v>2.8733245651583732</v>
      </c>
    </row>
    <row r="163" spans="1:20" x14ac:dyDescent="0.2">
      <c r="A163" s="44">
        <v>41334</v>
      </c>
      <c r="B163" s="1">
        <v>1.7035028329999999</v>
      </c>
      <c r="C163" s="1">
        <v>3</v>
      </c>
      <c r="D163" s="1">
        <v>2.94965986394558</v>
      </c>
      <c r="E163" s="18">
        <f t="shared" si="9"/>
        <v>1.577965321</v>
      </c>
      <c r="F163" s="18">
        <f>AVERAGE($B$4:B161)</f>
        <v>3.1752247710949364</v>
      </c>
      <c r="G163" s="18">
        <f t="shared" si="5"/>
        <v>2.1499129711999991</v>
      </c>
      <c r="H163" s="19">
        <v>3</v>
      </c>
      <c r="I163" s="30">
        <f t="shared" si="6"/>
        <v>-1.2964971670000001</v>
      </c>
      <c r="J163" s="30">
        <f t="shared" si="7"/>
        <v>-1.2461570309455801</v>
      </c>
      <c r="K163" s="30">
        <f t="shared" si="8"/>
        <v>0.12553751199999996</v>
      </c>
      <c r="L163" s="30">
        <f t="shared" si="0"/>
        <v>-1.4717219380949365</v>
      </c>
      <c r="M163" s="30">
        <f t="shared" si="1"/>
        <v>-0.4464101381999992</v>
      </c>
      <c r="N163" s="30">
        <f t="shared" si="2"/>
        <v>-1.2964971670000001</v>
      </c>
      <c r="O163" s="28">
        <f t="shared" si="3"/>
        <v>1.680904904039026</v>
      </c>
      <c r="P163" s="28">
        <f t="shared" si="4"/>
        <v>1.5529073457751035</v>
      </c>
      <c r="Q163" s="28">
        <f t="shared" si="4"/>
        <v>1.5759666919150133E-2</v>
      </c>
      <c r="R163" s="28">
        <f t="shared" si="4"/>
        <v>2.1659654630699161</v>
      </c>
      <c r="S163" s="28">
        <f t="shared" si="4"/>
        <v>0.19928201148774238</v>
      </c>
      <c r="T163" s="28">
        <f t="shared" si="4"/>
        <v>1.680904904039026</v>
      </c>
    </row>
    <row r="164" spans="1:20" x14ac:dyDescent="0.2">
      <c r="A164" s="44">
        <v>41365</v>
      </c>
      <c r="B164" s="1">
        <v>1.4727458950000001</v>
      </c>
      <c r="C164" s="1">
        <v>3</v>
      </c>
      <c r="D164" s="1">
        <v>3.04388489208633</v>
      </c>
      <c r="E164" s="18">
        <f t="shared" si="9"/>
        <v>1.3049116350000001</v>
      </c>
      <c r="F164" s="18">
        <f>AVERAGE($B$4:B162)</f>
        <v>3.1634617953962261</v>
      </c>
      <c r="G164" s="18">
        <f t="shared" si="5"/>
        <v>2.0341774819599996</v>
      </c>
      <c r="H164" s="19">
        <v>3</v>
      </c>
      <c r="I164" s="30">
        <f t="shared" si="6"/>
        <v>-1.5272541049999999</v>
      </c>
      <c r="J164" s="30">
        <f t="shared" si="7"/>
        <v>-1.5711389970863299</v>
      </c>
      <c r="K164" s="30">
        <f t="shared" si="8"/>
        <v>0.16783426000000001</v>
      </c>
      <c r="L164" s="30">
        <f t="shared" si="0"/>
        <v>-1.690715900396226</v>
      </c>
      <c r="M164" s="30">
        <f t="shared" si="1"/>
        <v>-0.56143158695999951</v>
      </c>
      <c r="N164" s="30">
        <f t="shared" si="2"/>
        <v>-1.5272541049999999</v>
      </c>
      <c r="O164" s="28">
        <f t="shared" si="3"/>
        <v>2.332505101239351</v>
      </c>
      <c r="P164" s="28">
        <f t="shared" si="3"/>
        <v>2.4684777481654385</v>
      </c>
      <c r="Q164" s="28">
        <f t="shared" si="3"/>
        <v>2.8168338829747605E-2</v>
      </c>
      <c r="R164" s="28">
        <f t="shared" si="3"/>
        <v>2.8585202558526213</v>
      </c>
      <c r="S164" s="28">
        <f t="shared" si="3"/>
        <v>0.3152054268364235</v>
      </c>
      <c r="T164" s="28">
        <f t="shared" si="3"/>
        <v>2.332505101239351</v>
      </c>
    </row>
    <row r="165" spans="1:20" x14ac:dyDescent="0.2">
      <c r="A165" s="44">
        <v>41395</v>
      </c>
      <c r="B165" s="1">
        <v>1.3881828919999999</v>
      </c>
      <c r="C165" s="1">
        <v>3</v>
      </c>
      <c r="D165" s="1">
        <v>3.0333333333333301</v>
      </c>
      <c r="E165" s="18">
        <f t="shared" si="9"/>
        <v>1.7035028329999999</v>
      </c>
      <c r="F165" s="18">
        <f>AVERAGE($B$4:B163)</f>
        <v>3.1543370518812499</v>
      </c>
      <c r="G165" s="18">
        <f t="shared" si="5"/>
        <v>1.9421243740599994</v>
      </c>
      <c r="H165" s="19">
        <v>3</v>
      </c>
      <c r="I165" s="30">
        <f t="shared" si="6"/>
        <v>-1.6118171080000001</v>
      </c>
      <c r="J165" s="30">
        <f t="shared" si="7"/>
        <v>-1.6451504413333302</v>
      </c>
      <c r="K165" s="30">
        <f t="shared" si="8"/>
        <v>-0.31531994100000005</v>
      </c>
      <c r="L165" s="30">
        <f t="shared" si="0"/>
        <v>-1.76615415988125</v>
      </c>
      <c r="M165" s="30">
        <f t="shared" si="1"/>
        <v>-0.55394148205999949</v>
      </c>
      <c r="N165" s="30">
        <f t="shared" si="2"/>
        <v>-1.6118171080000001</v>
      </c>
      <c r="O165" s="28">
        <f t="shared" si="3"/>
        <v>2.5979543896414841</v>
      </c>
      <c r="P165" s="28">
        <f t="shared" si="3"/>
        <v>2.7065199746192512</v>
      </c>
      <c r="Q165" s="28">
        <f t="shared" si="3"/>
        <v>9.942666519224351E-2</v>
      </c>
      <c r="R165" s="28">
        <f t="shared" si="3"/>
        <v>3.1193005164658438</v>
      </c>
      <c r="S165" s="28">
        <f t="shared" si="3"/>
        <v>0.30685116554682873</v>
      </c>
      <c r="T165" s="28">
        <f t="shared" si="3"/>
        <v>2.5979543896414841</v>
      </c>
    </row>
    <row r="166" spans="1:20" x14ac:dyDescent="0.2">
      <c r="A166" s="44">
        <v>41426</v>
      </c>
      <c r="B166" s="1">
        <v>2.1557052419999998</v>
      </c>
      <c r="C166" s="1">
        <v>2.9</v>
      </c>
      <c r="D166" s="1">
        <v>2.9323529411764699</v>
      </c>
      <c r="E166" s="18">
        <f t="shared" si="9"/>
        <v>1.4727458950000001</v>
      </c>
      <c r="F166" s="18">
        <f>AVERAGE($B$4:B164)</f>
        <v>3.1438923863105588</v>
      </c>
      <c r="G166" s="18">
        <f t="shared" si="5"/>
        <v>1.8813028617199998</v>
      </c>
      <c r="H166" s="19">
        <v>3</v>
      </c>
      <c r="I166" s="30">
        <f t="shared" si="6"/>
        <v>-0.74429475800000011</v>
      </c>
      <c r="J166" s="30">
        <f t="shared" si="7"/>
        <v>-0.77664769917647014</v>
      </c>
      <c r="K166" s="30">
        <f t="shared" si="8"/>
        <v>0.68295934699999972</v>
      </c>
      <c r="L166" s="30">
        <f t="shared" si="0"/>
        <v>-0.98818714431055898</v>
      </c>
      <c r="M166" s="30">
        <f t="shared" si="1"/>
        <v>0.27440238027999997</v>
      </c>
      <c r="N166" s="30">
        <f t="shared" si="2"/>
        <v>-0.8442947580000002</v>
      </c>
      <c r="O166" s="28">
        <f t="shared" si="3"/>
        <v>0.5539746867862787</v>
      </c>
      <c r="P166" s="28">
        <f t="shared" si="3"/>
        <v>0.60318164863610491</v>
      </c>
      <c r="Q166" s="28">
        <f t="shared" si="3"/>
        <v>0.46643346965466603</v>
      </c>
      <c r="R166" s="28">
        <f t="shared" si="3"/>
        <v>0.97651383218065757</v>
      </c>
      <c r="S166" s="28">
        <f t="shared" si="3"/>
        <v>7.5296666303329721E-2</v>
      </c>
      <c r="T166" s="28">
        <f t="shared" si="3"/>
        <v>0.71283363838627889</v>
      </c>
    </row>
    <row r="167" spans="1:20" x14ac:dyDescent="0.2">
      <c r="A167" s="44">
        <v>41456</v>
      </c>
      <c r="B167" s="1">
        <v>2.2240832369999999</v>
      </c>
      <c r="C167" s="1">
        <v>2.8</v>
      </c>
      <c r="D167" s="1">
        <v>2.79181286549708</v>
      </c>
      <c r="E167" s="18">
        <f t="shared" si="9"/>
        <v>1.3881828919999999</v>
      </c>
      <c r="F167" s="18">
        <f>AVERAGE($B$4:B165)</f>
        <v>3.1330546733827158</v>
      </c>
      <c r="G167" s="18">
        <f t="shared" si="5"/>
        <v>1.8350896710999995</v>
      </c>
      <c r="H167" s="19">
        <v>3</v>
      </c>
      <c r="I167" s="30">
        <f t="shared" si="6"/>
        <v>-0.57591676299999994</v>
      </c>
      <c r="J167" s="30">
        <f t="shared" si="7"/>
        <v>-0.56772962849708009</v>
      </c>
      <c r="K167" s="30">
        <f t="shared" si="8"/>
        <v>0.83590034499999999</v>
      </c>
      <c r="L167" s="30">
        <f t="shared" si="0"/>
        <v>-0.90897143638271594</v>
      </c>
      <c r="M167" s="30">
        <f t="shared" si="1"/>
        <v>0.38899356590000034</v>
      </c>
      <c r="N167" s="30">
        <f t="shared" si="2"/>
        <v>-0.77591676300000012</v>
      </c>
      <c r="O167" s="28">
        <f t="shared" si="3"/>
        <v>0.33168011790439811</v>
      </c>
      <c r="P167" s="28">
        <f t="shared" si="3"/>
        <v>0.32231693107343257</v>
      </c>
      <c r="Q167" s="28">
        <f t="shared" si="3"/>
        <v>0.69872938677111895</v>
      </c>
      <c r="R167" s="28">
        <f t="shared" si="3"/>
        <v>0.8262290721596578</v>
      </c>
      <c r="S167" s="28">
        <f t="shared" si="3"/>
        <v>0.1513159943115979</v>
      </c>
      <c r="T167" s="28">
        <f t="shared" si="3"/>
        <v>0.60204682310439839</v>
      </c>
    </row>
    <row r="168" spans="1:20" x14ac:dyDescent="0.2">
      <c r="A168" s="44">
        <v>41487</v>
      </c>
      <c r="B168" s="1">
        <v>2.2886529530000002</v>
      </c>
      <c r="C168" s="1">
        <v>2.8</v>
      </c>
      <c r="D168" s="1">
        <v>2.86024096385542</v>
      </c>
      <c r="E168" s="18">
        <f t="shared" si="9"/>
        <v>2.1557052419999998</v>
      </c>
      <c r="F168" s="18">
        <f>AVERAGE($B$4:B166)</f>
        <v>3.1270586646012268</v>
      </c>
      <c r="G168" s="18">
        <f t="shared" si="5"/>
        <v>1.8148406125399998</v>
      </c>
      <c r="H168" s="19">
        <v>3</v>
      </c>
      <c r="I168" s="30">
        <f t="shared" si="6"/>
        <v>-0.51134704699999967</v>
      </c>
      <c r="J168" s="30">
        <f t="shared" si="7"/>
        <v>-0.57158801085541988</v>
      </c>
      <c r="K168" s="30">
        <f t="shared" si="8"/>
        <v>0.13294771100000036</v>
      </c>
      <c r="L168" s="30">
        <f t="shared" si="0"/>
        <v>-0.83840571160122668</v>
      </c>
      <c r="M168" s="30">
        <f t="shared" si="1"/>
        <v>0.47381234046000031</v>
      </c>
      <c r="N168" s="30">
        <f t="shared" si="2"/>
        <v>-0.71134704699999984</v>
      </c>
      <c r="O168" s="28">
        <f t="shared" si="3"/>
        <v>0.26147580247561986</v>
      </c>
      <c r="P168" s="28">
        <f t="shared" si="3"/>
        <v>0.32671285415365559</v>
      </c>
      <c r="Q168" s="28">
        <f t="shared" si="3"/>
        <v>1.7675093860139615E-2</v>
      </c>
      <c r="R168" s="28">
        <f t="shared" si="3"/>
        <v>0.70292413724555924</v>
      </c>
      <c r="S168" s="28">
        <f t="shared" si="3"/>
        <v>0.22449813397218324</v>
      </c>
      <c r="T168" s="28">
        <f t="shared" si="3"/>
        <v>0.50601462127562002</v>
      </c>
    </row>
    <row r="169" spans="1:20" x14ac:dyDescent="0.2">
      <c r="A169" s="44">
        <v>41518</v>
      </c>
      <c r="B169" s="1">
        <v>2.0040252089999999</v>
      </c>
      <c r="C169" s="1">
        <v>2.8</v>
      </c>
      <c r="D169" s="1">
        <v>3.01837837837838</v>
      </c>
      <c r="E169" s="18">
        <f t="shared" si="9"/>
        <v>2.2240832369999999</v>
      </c>
      <c r="F169" s="18">
        <f>AVERAGE($B$4:B167)</f>
        <v>3.121552716871951</v>
      </c>
      <c r="G169" s="18">
        <f t="shared" si="5"/>
        <v>1.8238941799400001</v>
      </c>
      <c r="H169" s="19">
        <v>3</v>
      </c>
      <c r="I169" s="30">
        <f t="shared" si="6"/>
        <v>-0.7959747909999999</v>
      </c>
      <c r="J169" s="30">
        <f t="shared" si="7"/>
        <v>-1.01435316937838</v>
      </c>
      <c r="K169" s="30">
        <f t="shared" si="8"/>
        <v>-0.22005802799999996</v>
      </c>
      <c r="L169" s="30">
        <f t="shared" si="0"/>
        <v>-1.1175275078719511</v>
      </c>
      <c r="M169" s="30">
        <f t="shared" si="1"/>
        <v>0.18013102905999978</v>
      </c>
      <c r="N169" s="30">
        <f t="shared" si="2"/>
        <v>-0.99597479100000008</v>
      </c>
      <c r="O169" s="28">
        <f t="shared" si="3"/>
        <v>0.63357586790749354</v>
      </c>
      <c r="P169" s="28">
        <f t="shared" si="3"/>
        <v>1.0289123522279646</v>
      </c>
      <c r="Q169" s="28">
        <f t="shared" si="3"/>
        <v>4.8425535687248764E-2</v>
      </c>
      <c r="R169" s="28">
        <f t="shared" si="3"/>
        <v>1.2488677308504936</v>
      </c>
      <c r="S169" s="28">
        <f t="shared" si="3"/>
        <v>3.2447187630214487E-2</v>
      </c>
      <c r="T169" s="28">
        <f t="shared" si="3"/>
        <v>0.99196578430749383</v>
      </c>
    </row>
    <row r="170" spans="1:20" x14ac:dyDescent="0.2">
      <c r="A170" s="44">
        <v>41548</v>
      </c>
      <c r="B170" s="1">
        <v>1.7389968170000001</v>
      </c>
      <c r="C170" s="1">
        <v>2.9</v>
      </c>
      <c r="D170" s="1">
        <v>3.0132075471698099</v>
      </c>
      <c r="E170" s="18">
        <f t="shared" si="9"/>
        <v>2.2886529530000002</v>
      </c>
      <c r="F170" s="18">
        <f>AVERAGE($B$4:B168)</f>
        <v>3.1165048395151511</v>
      </c>
      <c r="G170" s="18">
        <f t="shared" si="5"/>
        <v>1.85731077</v>
      </c>
      <c r="H170" s="19">
        <v>3</v>
      </c>
      <c r="I170" s="30">
        <f t="shared" si="6"/>
        <v>-1.1610031829999998</v>
      </c>
      <c r="J170" s="30">
        <f t="shared" si="7"/>
        <v>-1.2742107301698098</v>
      </c>
      <c r="K170" s="30">
        <f t="shared" si="8"/>
        <v>-0.54965613600000007</v>
      </c>
      <c r="L170" s="30">
        <f t="shared" si="0"/>
        <v>-1.377508022515151</v>
      </c>
      <c r="M170" s="30">
        <f t="shared" si="1"/>
        <v>-0.11831395299999992</v>
      </c>
      <c r="N170" s="30">
        <f t="shared" si="2"/>
        <v>-1.2610031829999999</v>
      </c>
      <c r="O170" s="28">
        <f t="shared" si="3"/>
        <v>1.347928390936131</v>
      </c>
      <c r="P170" s="28">
        <f t="shared" si="3"/>
        <v>1.6236129848798797</v>
      </c>
      <c r="Q170" s="28">
        <f t="shared" si="3"/>
        <v>0.3021218678424506</v>
      </c>
      <c r="R170" s="28">
        <f t="shared" si="3"/>
        <v>1.8975283520936019</v>
      </c>
      <c r="S170" s="28">
        <f t="shared" si="3"/>
        <v>1.399819147448619E-2</v>
      </c>
      <c r="T170" s="28">
        <f t="shared" si="3"/>
        <v>1.5901290275361313</v>
      </c>
    </row>
    <row r="171" spans="1:20" x14ac:dyDescent="0.2">
      <c r="A171" s="44">
        <v>41579</v>
      </c>
      <c r="B171" s="1">
        <v>2.448889962</v>
      </c>
      <c r="C171" s="1">
        <v>2.8</v>
      </c>
      <c r="D171" s="1">
        <v>2.9794594594594601</v>
      </c>
      <c r="E171" s="18">
        <f t="shared" si="9"/>
        <v>2.0040252089999999</v>
      </c>
      <c r="F171" s="18">
        <f>AVERAGE($B$4:B169)</f>
        <v>3.1098031549939757</v>
      </c>
      <c r="G171" s="18">
        <f t="shared" si="5"/>
        <v>1.9161078431</v>
      </c>
      <c r="H171" s="19">
        <v>3</v>
      </c>
      <c r="I171" s="30">
        <f t="shared" si="6"/>
        <v>-0.35111003799999985</v>
      </c>
      <c r="J171" s="30">
        <f t="shared" si="7"/>
        <v>-0.53056949745946014</v>
      </c>
      <c r="K171" s="30">
        <f t="shared" si="8"/>
        <v>0.44486475300000006</v>
      </c>
      <c r="L171" s="30">
        <f t="shared" si="0"/>
        <v>-0.66091319299397577</v>
      </c>
      <c r="M171" s="30">
        <f t="shared" si="1"/>
        <v>0.53278211889999993</v>
      </c>
      <c r="N171" s="30">
        <f t="shared" si="2"/>
        <v>-0.55111003800000002</v>
      </c>
      <c r="O171" s="28">
        <f t="shared" si="3"/>
        <v>0.12327825878436134</v>
      </c>
      <c r="P171" s="28">
        <f t="shared" si="3"/>
        <v>0.28150399163438405</v>
      </c>
      <c r="Q171" s="28">
        <f t="shared" si="3"/>
        <v>0.19790464846175107</v>
      </c>
      <c r="R171" s="28">
        <f t="shared" si="3"/>
        <v>0.43680624867349227</v>
      </c>
      <c r="S171" s="28">
        <f t="shared" si="3"/>
        <v>0.28385678621957366</v>
      </c>
      <c r="T171" s="28">
        <f t="shared" si="3"/>
        <v>0.30372227398436147</v>
      </c>
    </row>
    <row r="172" spans="1:20" x14ac:dyDescent="0.2">
      <c r="A172" s="44">
        <v>41609</v>
      </c>
      <c r="B172" s="1">
        <v>2.8380748059999998</v>
      </c>
      <c r="C172" s="1">
        <v>2.8</v>
      </c>
      <c r="D172" s="1">
        <v>2.9482142857142901</v>
      </c>
      <c r="E172" s="18">
        <f t="shared" si="9"/>
        <v>1.7389968170000001</v>
      </c>
      <c r="F172" s="18">
        <f>AVERAGE($B$4:B170)</f>
        <v>3.1015947338083834</v>
      </c>
      <c r="G172" s="18">
        <f t="shared" si="5"/>
        <v>1.99694317568</v>
      </c>
      <c r="H172" s="19">
        <v>3</v>
      </c>
      <c r="I172" s="30">
        <f t="shared" si="6"/>
        <v>3.8074806000000017E-2</v>
      </c>
      <c r="J172" s="30">
        <f t="shared" si="7"/>
        <v>-0.11013947971429028</v>
      </c>
      <c r="K172" s="30">
        <f t="shared" si="8"/>
        <v>1.0990779889999998</v>
      </c>
      <c r="L172" s="30">
        <f t="shared" si="0"/>
        <v>-0.26351992780838351</v>
      </c>
      <c r="M172" s="30">
        <f t="shared" si="1"/>
        <v>0.84113163031999982</v>
      </c>
      <c r="N172" s="30">
        <f t="shared" si="2"/>
        <v>-0.16192519400000016</v>
      </c>
      <c r="O172" s="28">
        <f t="shared" si="3"/>
        <v>1.4496908519376372E-3</v>
      </c>
      <c r="P172" s="28">
        <f t="shared" si="3"/>
        <v>1.213070499173456E-2</v>
      </c>
      <c r="Q172" s="28">
        <f t="shared" si="3"/>
        <v>1.2079724259042837</v>
      </c>
      <c r="R172" s="28">
        <f t="shared" si="3"/>
        <v>6.9442752352135664E-2</v>
      </c>
      <c r="S172" s="28">
        <f t="shared" si="3"/>
        <v>0.70750241952478088</v>
      </c>
      <c r="T172" s="28">
        <f t="shared" si="3"/>
        <v>2.621976845193769E-2</v>
      </c>
    </row>
    <row r="173" spans="1:20" x14ac:dyDescent="0.2">
      <c r="A173" s="44">
        <v>41640</v>
      </c>
      <c r="B173" s="1">
        <v>2.8393503760000001</v>
      </c>
      <c r="C173" s="1">
        <v>2.8</v>
      </c>
      <c r="D173" s="1">
        <v>3.03571428571429</v>
      </c>
      <c r="E173" s="18">
        <f t="shared" si="9"/>
        <v>2.448889962</v>
      </c>
      <c r="F173" s="18">
        <f>AVERAGE($B$4:B171)</f>
        <v>3.0977095863571429</v>
      </c>
      <c r="G173" s="18">
        <f t="shared" si="5"/>
        <v>2.0905394758799996</v>
      </c>
      <c r="H173" s="19">
        <v>3</v>
      </c>
      <c r="I173" s="30">
        <f t="shared" si="6"/>
        <v>3.9350376000000242E-2</v>
      </c>
      <c r="J173" s="30">
        <f t="shared" si="7"/>
        <v>-0.19636390971428996</v>
      </c>
      <c r="K173" s="30">
        <f t="shared" si="8"/>
        <v>0.39046041400000009</v>
      </c>
      <c r="L173" s="30">
        <f t="shared" si="0"/>
        <v>-0.25835921035714282</v>
      </c>
      <c r="M173" s="30">
        <f t="shared" si="1"/>
        <v>0.74881090012000051</v>
      </c>
      <c r="N173" s="30">
        <f t="shared" si="2"/>
        <v>-0.16064962399999994</v>
      </c>
      <c r="O173" s="28">
        <f t="shared" si="3"/>
        <v>1.548452091341395E-3</v>
      </c>
      <c r="P173" s="28">
        <f t="shared" si="3"/>
        <v>3.855878503828182E-2</v>
      </c>
      <c r="Q173" s="28">
        <f t="shared" si="3"/>
        <v>0.15245933490105146</v>
      </c>
      <c r="R173" s="28">
        <f t="shared" si="3"/>
        <v>6.6749481576366371E-2</v>
      </c>
      <c r="S173" s="28">
        <f t="shared" si="3"/>
        <v>0.56071776413852537</v>
      </c>
      <c r="T173" s="28">
        <f t="shared" si="3"/>
        <v>2.5808301691341354E-2</v>
      </c>
    </row>
    <row r="174" spans="1:20" x14ac:dyDescent="0.2">
      <c r="A174" s="44">
        <v>41671</v>
      </c>
      <c r="B174" s="1">
        <v>3.2174840179999999</v>
      </c>
      <c r="C174" s="1">
        <v>2.95</v>
      </c>
      <c r="D174" s="1">
        <v>3.1658227848101301</v>
      </c>
      <c r="E174" s="18">
        <f t="shared" si="9"/>
        <v>2.8380748059999998</v>
      </c>
      <c r="F174" s="18">
        <f>AVERAGE($B$4:B172)</f>
        <v>3.0961732858816569</v>
      </c>
      <c r="G174" s="18">
        <f t="shared" si="5"/>
        <v>2.2091965546999996</v>
      </c>
      <c r="H174" s="19">
        <v>3</v>
      </c>
      <c r="I174" s="30">
        <f t="shared" si="6"/>
        <v>0.26748401799999977</v>
      </c>
      <c r="J174" s="30">
        <f t="shared" si="7"/>
        <v>5.1661233189869815E-2</v>
      </c>
      <c r="K174" s="30">
        <f t="shared" si="8"/>
        <v>0.37940921200000011</v>
      </c>
      <c r="L174" s="30">
        <f t="shared" si="0"/>
        <v>0.12131073211834309</v>
      </c>
      <c r="M174" s="30">
        <f t="shared" si="1"/>
        <v>1.0082874633000003</v>
      </c>
      <c r="N174" s="30">
        <f t="shared" si="2"/>
        <v>0.21748401799999995</v>
      </c>
      <c r="O174" s="28">
        <f t="shared" si="3"/>
        <v>7.1547699885424199E-2</v>
      </c>
      <c r="P174" s="28">
        <f t="shared" si="3"/>
        <v>2.6688830146981064E-3</v>
      </c>
      <c r="Q174" s="28">
        <f t="shared" si="3"/>
        <v>0.14395135015046104</v>
      </c>
      <c r="R174" s="28">
        <f t="shared" si="3"/>
        <v>1.4716293727088398E-2</v>
      </c>
      <c r="S174" s="28">
        <f t="shared" si="3"/>
        <v>1.0166436086479493</v>
      </c>
      <c r="T174" s="28">
        <f t="shared" si="3"/>
        <v>4.7299298085424303E-2</v>
      </c>
    </row>
    <row r="175" spans="1:20" x14ac:dyDescent="0.2">
      <c r="A175" s="44">
        <v>41699</v>
      </c>
      <c r="B175" s="1">
        <v>3.5049060952732001</v>
      </c>
      <c r="C175" s="1">
        <v>3</v>
      </c>
      <c r="D175" s="1">
        <v>3.2302325581395399</v>
      </c>
      <c r="E175" s="18">
        <f t="shared" si="9"/>
        <v>2.8393503760000001</v>
      </c>
      <c r="F175" s="18">
        <f>AVERAGE($B$4:B173)</f>
        <v>3.0946625628823528</v>
      </c>
      <c r="G175" s="18">
        <f t="shared" si="5"/>
        <v>2.3331827129399998</v>
      </c>
      <c r="H175" s="19">
        <v>3</v>
      </c>
      <c r="I175" s="30">
        <f t="shared" si="6"/>
        <v>0.50490609527320007</v>
      </c>
      <c r="J175" s="30">
        <f t="shared" si="7"/>
        <v>0.27467353713366016</v>
      </c>
      <c r="K175" s="30">
        <f t="shared" si="8"/>
        <v>0.66555571927320001</v>
      </c>
      <c r="L175" s="30">
        <f t="shared" si="0"/>
        <v>0.41024353239084732</v>
      </c>
      <c r="M175" s="30">
        <f t="shared" si="1"/>
        <v>1.1717233823332003</v>
      </c>
      <c r="N175" s="30">
        <f t="shared" si="2"/>
        <v>0.50490609527320007</v>
      </c>
      <c r="O175" s="28">
        <f t="shared" si="3"/>
        <v>0.25493016504402977</v>
      </c>
      <c r="P175" s="28">
        <f t="shared" si="3"/>
        <v>7.5445552001516189E-2</v>
      </c>
      <c r="Q175" s="28">
        <f t="shared" si="3"/>
        <v>0.44296441545726661</v>
      </c>
      <c r="R175" s="28">
        <f t="shared" si="3"/>
        <v>0.1682997558685202</v>
      </c>
      <c r="S175" s="28">
        <f t="shared" si="3"/>
        <v>1.372935684706355</v>
      </c>
      <c r="T175" s="28">
        <f t="shared" si="3"/>
        <v>0.25493016504402977</v>
      </c>
    </row>
    <row r="176" spans="1:20" x14ac:dyDescent="0.2">
      <c r="A176" s="44">
        <v>41730</v>
      </c>
      <c r="B176" s="1">
        <v>4.331577051</v>
      </c>
      <c r="C176" s="1">
        <v>3</v>
      </c>
      <c r="D176" s="1">
        <v>3.4167664670658699</v>
      </c>
      <c r="E176" s="18">
        <f t="shared" si="9"/>
        <v>3.2174840179999999</v>
      </c>
      <c r="F176" s="18">
        <f>AVERAGE($B$4:B174)</f>
        <v>3.0953808170058479</v>
      </c>
      <c r="G176" s="18">
        <f t="shared" si="5"/>
        <v>2.4490934661599995</v>
      </c>
      <c r="H176" s="19">
        <v>3</v>
      </c>
      <c r="I176" s="30">
        <f t="shared" si="6"/>
        <v>1.331577051</v>
      </c>
      <c r="J176" s="30">
        <f t="shared" si="7"/>
        <v>0.91481058393413006</v>
      </c>
      <c r="K176" s="30">
        <f t="shared" si="8"/>
        <v>1.1140930330000001</v>
      </c>
      <c r="L176" s="30">
        <f t="shared" si="0"/>
        <v>1.2361962339941521</v>
      </c>
      <c r="M176" s="30">
        <f t="shared" si="1"/>
        <v>1.8824835848400006</v>
      </c>
      <c r="N176" s="30">
        <f t="shared" si="2"/>
        <v>1.331577051</v>
      </c>
      <c r="O176" s="28">
        <f t="shared" si="3"/>
        <v>1.7730974427498567</v>
      </c>
      <c r="P176" s="28">
        <f t="shared" si="3"/>
        <v>0.83687840447790407</v>
      </c>
      <c r="Q176" s="28">
        <f t="shared" si="3"/>
        <v>1.2412032861791393</v>
      </c>
      <c r="R176" s="28">
        <f t="shared" si="3"/>
        <v>1.5281811289413245</v>
      </c>
      <c r="S176" s="28">
        <f t="shared" si="3"/>
        <v>3.5437444471920596</v>
      </c>
      <c r="T176" s="28">
        <f t="shared" si="3"/>
        <v>1.7730974427498567</v>
      </c>
    </row>
    <row r="177" spans="1:20" x14ac:dyDescent="0.2">
      <c r="A177" s="44">
        <v>41760</v>
      </c>
      <c r="B177" s="1">
        <v>4.7390175570000004</v>
      </c>
      <c r="C177" s="1">
        <v>3</v>
      </c>
      <c r="D177" s="1">
        <v>3.5594117647058798</v>
      </c>
      <c r="E177" s="18">
        <f t="shared" si="9"/>
        <v>3.5049060952732001</v>
      </c>
      <c r="F177" s="18">
        <f>AVERAGE($B$4:B175)</f>
        <v>3.0977617779260069</v>
      </c>
      <c r="G177" s="18">
        <f t="shared" si="5"/>
        <v>2.5456033526254633</v>
      </c>
      <c r="H177" s="19">
        <v>3</v>
      </c>
      <c r="I177" s="30">
        <f t="shared" si="6"/>
        <v>1.7390175570000004</v>
      </c>
      <c r="J177" s="30">
        <f t="shared" si="7"/>
        <v>1.1796057922941205</v>
      </c>
      <c r="K177" s="30">
        <f t="shared" si="8"/>
        <v>1.2341114617268003</v>
      </c>
      <c r="L177" s="30">
        <f t="shared" si="0"/>
        <v>1.6412557790739934</v>
      </c>
      <c r="M177" s="30">
        <f t="shared" si="1"/>
        <v>2.193414204374537</v>
      </c>
      <c r="N177" s="30">
        <f t="shared" si="2"/>
        <v>1.7390175570000004</v>
      </c>
      <c r="O177" s="28">
        <f t="shared" si="3"/>
        <v>3.0241820635542496</v>
      </c>
      <c r="P177" s="28">
        <f t="shared" si="3"/>
        <v>1.3914698252138398</v>
      </c>
      <c r="Q177" s="28">
        <f t="shared" si="3"/>
        <v>1.5230310999654597</v>
      </c>
      <c r="R177" s="28">
        <f t="shared" si="3"/>
        <v>2.6937205323437814</v>
      </c>
      <c r="S177" s="28">
        <f t="shared" si="3"/>
        <v>4.8110658719519837</v>
      </c>
      <c r="T177" s="28">
        <f t="shared" si="3"/>
        <v>3.0241820635542496</v>
      </c>
    </row>
    <row r="178" spans="1:20" x14ac:dyDescent="0.2">
      <c r="A178" s="44">
        <v>41791</v>
      </c>
      <c r="B178" s="1">
        <v>4.314826847</v>
      </c>
      <c r="C178" s="1">
        <v>3.1</v>
      </c>
      <c r="D178" s="1">
        <v>3.8339393939394002</v>
      </c>
      <c r="E178" s="18">
        <f t="shared" si="9"/>
        <v>4.331577051</v>
      </c>
      <c r="F178" s="18">
        <f>AVERAGE($B$4:B176)</f>
        <v>3.1048936581171858</v>
      </c>
      <c r="G178" s="18">
        <f t="shared" si="5"/>
        <v>2.6270614772854635</v>
      </c>
      <c r="H178" s="19">
        <v>3</v>
      </c>
      <c r="I178" s="30">
        <f t="shared" si="6"/>
        <v>1.2148268469999999</v>
      </c>
      <c r="J178" s="30">
        <f t="shared" si="7"/>
        <v>0.48088745306059977</v>
      </c>
      <c r="K178" s="30">
        <f t="shared" si="8"/>
        <v>-1.6750204000000046E-2</v>
      </c>
      <c r="L178" s="30">
        <f t="shared" si="0"/>
        <v>1.2099331888828142</v>
      </c>
      <c r="M178" s="30">
        <f t="shared" si="1"/>
        <v>1.6877653697145365</v>
      </c>
      <c r="N178" s="30">
        <f t="shared" si="2"/>
        <v>1.314826847</v>
      </c>
      <c r="O178" s="28">
        <f t="shared" si="3"/>
        <v>1.4758042681919612</v>
      </c>
      <c r="P178" s="28">
        <f t="shared" si="3"/>
        <v>0.23125274251111055</v>
      </c>
      <c r="Q178" s="28">
        <f t="shared" si="3"/>
        <v>2.8056933404161754E-4</v>
      </c>
      <c r="R178" s="28">
        <f t="shared" si="3"/>
        <v>1.4639383215601358</v>
      </c>
      <c r="S178" s="28">
        <f t="shared" si="3"/>
        <v>2.8485519432076463</v>
      </c>
      <c r="T178" s="28">
        <f t="shared" si="3"/>
        <v>1.7287696375919612</v>
      </c>
    </row>
    <row r="179" spans="1:20" x14ac:dyDescent="0.2">
      <c r="A179" s="44">
        <v>41821</v>
      </c>
      <c r="B179" s="1">
        <v>4.5008999919999999</v>
      </c>
      <c r="C179" s="1">
        <v>3</v>
      </c>
      <c r="D179" s="1">
        <v>3.8109090909090901</v>
      </c>
      <c r="E179" s="18">
        <f t="shared" si="9"/>
        <v>4.7390175570000004</v>
      </c>
      <c r="F179" s="18">
        <f>AVERAGE($B$4:B177)</f>
        <v>3.1142851747774323</v>
      </c>
      <c r="G179" s="18">
        <f t="shared" si="5"/>
        <v>2.7157724605854634</v>
      </c>
      <c r="H179" s="19">
        <v>3</v>
      </c>
      <c r="I179" s="30">
        <f t="shared" si="6"/>
        <v>1.5008999919999999</v>
      </c>
      <c r="J179" s="30">
        <f t="shared" si="7"/>
        <v>0.68999090109090977</v>
      </c>
      <c r="K179" s="30">
        <f t="shared" si="8"/>
        <v>-0.23811756500000048</v>
      </c>
      <c r="L179" s="30">
        <f t="shared" si="0"/>
        <v>1.3866148172225676</v>
      </c>
      <c r="M179" s="30">
        <f t="shared" si="1"/>
        <v>1.7851275314145365</v>
      </c>
      <c r="N179" s="30">
        <f t="shared" si="2"/>
        <v>1.5008999919999999</v>
      </c>
      <c r="O179" s="28">
        <f t="shared" si="3"/>
        <v>2.2527007859855996</v>
      </c>
      <c r="P179" s="28">
        <f t="shared" si="3"/>
        <v>0.47608744358824562</v>
      </c>
      <c r="Q179" s="28">
        <f t="shared" si="3"/>
        <v>5.6699974761529451E-2</v>
      </c>
      <c r="R179" s="28">
        <f t="shared" si="3"/>
        <v>1.9227006513411746</v>
      </c>
      <c r="S179" s="28">
        <f t="shared" si="3"/>
        <v>3.1866803034141569</v>
      </c>
      <c r="T179" s="28">
        <f t="shared" si="3"/>
        <v>2.2527007859855996</v>
      </c>
    </row>
    <row r="180" spans="1:20" x14ac:dyDescent="0.2">
      <c r="A180" s="44">
        <v>41852</v>
      </c>
      <c r="B180" s="1">
        <v>4.5428083800000003</v>
      </c>
      <c r="C180" s="1">
        <v>3</v>
      </c>
      <c r="D180" s="1">
        <v>3.7518750000000001</v>
      </c>
      <c r="E180" s="18">
        <f t="shared" si="9"/>
        <v>4.314826847</v>
      </c>
      <c r="F180" s="18">
        <f>AVERAGE($B$4:B178)</f>
        <v>3.121145412904418</v>
      </c>
      <c r="G180" s="18">
        <f t="shared" si="5"/>
        <v>2.7836181386854637</v>
      </c>
      <c r="H180" s="19">
        <v>3</v>
      </c>
      <c r="I180" s="30">
        <f t="shared" si="6"/>
        <v>1.5428083800000003</v>
      </c>
      <c r="J180" s="30">
        <f t="shared" si="7"/>
        <v>0.79093338000000024</v>
      </c>
      <c r="K180" s="30">
        <f t="shared" si="8"/>
        <v>0.22798153300000035</v>
      </c>
      <c r="L180" s="30">
        <f t="shared" si="0"/>
        <v>1.4216629670955823</v>
      </c>
      <c r="M180" s="30">
        <f t="shared" si="1"/>
        <v>1.7591902413145366</v>
      </c>
      <c r="N180" s="30">
        <f t="shared" si="2"/>
        <v>1.5428083800000003</v>
      </c>
      <c r="O180" s="28">
        <f t="shared" si="3"/>
        <v>2.3802576973982252</v>
      </c>
      <c r="P180" s="28">
        <f t="shared" si="3"/>
        <v>0.62557561159822483</v>
      </c>
      <c r="Q180" s="28">
        <f t="shared" si="3"/>
        <v>5.1975579389030246E-2</v>
      </c>
      <c r="R180" s="28">
        <f t="shared" si="3"/>
        <v>2.0211255920110145</v>
      </c>
      <c r="S180" s="28">
        <f t="shared" si="3"/>
        <v>3.0947503051362975</v>
      </c>
      <c r="T180" s="28">
        <f t="shared" si="3"/>
        <v>2.3802576973982252</v>
      </c>
    </row>
    <row r="181" spans="1:20" x14ac:dyDescent="0.2">
      <c r="A181" s="44">
        <v>41883</v>
      </c>
      <c r="B181" s="1">
        <v>4.905575228</v>
      </c>
      <c r="C181" s="1">
        <v>3</v>
      </c>
      <c r="D181" s="1">
        <v>3.6614906832298102</v>
      </c>
      <c r="E181" s="18">
        <f t="shared" si="9"/>
        <v>4.5008999919999999</v>
      </c>
      <c r="F181" s="18">
        <f>AVERAGE($B$4:B179)</f>
        <v>3.1289849275583701</v>
      </c>
      <c r="G181" s="18">
        <f t="shared" si="5"/>
        <v>2.8435753718654637</v>
      </c>
      <c r="H181" s="19">
        <v>3</v>
      </c>
      <c r="I181" s="30">
        <f t="shared" si="6"/>
        <v>1.905575228</v>
      </c>
      <c r="J181" s="30">
        <f t="shared" si="7"/>
        <v>1.2440845447701898</v>
      </c>
      <c r="K181" s="30">
        <f t="shared" si="8"/>
        <v>0.4046752360000001</v>
      </c>
      <c r="L181" s="30">
        <f t="shared" si="0"/>
        <v>1.7765903004416299</v>
      </c>
      <c r="M181" s="30">
        <f t="shared" si="1"/>
        <v>2.0619998561345363</v>
      </c>
      <c r="N181" s="30">
        <f t="shared" si="2"/>
        <v>1.905575228</v>
      </c>
      <c r="O181" s="28">
        <f t="shared" si="3"/>
        <v>3.6312169495672522</v>
      </c>
      <c r="P181" s="28">
        <f t="shared" si="3"/>
        <v>1.5477463545360504</v>
      </c>
      <c r="Q181" s="28">
        <f t="shared" si="3"/>
        <v>0.16376204663165578</v>
      </c>
      <c r="R181" s="28">
        <f t="shared" si="3"/>
        <v>3.156273095623281</v>
      </c>
      <c r="S181" s="28">
        <f t="shared" si="3"/>
        <v>4.251843406698848</v>
      </c>
      <c r="T181" s="28">
        <f t="shared" si="3"/>
        <v>3.6312169495672522</v>
      </c>
    </row>
    <row r="182" spans="1:20" x14ac:dyDescent="0.2">
      <c r="A182" s="44">
        <v>41913</v>
      </c>
      <c r="B182" s="1">
        <v>5.6832686030000001</v>
      </c>
      <c r="C182" s="1">
        <v>3.2</v>
      </c>
      <c r="D182" s="1">
        <v>3.83051948051948</v>
      </c>
      <c r="E182" s="18">
        <f t="shared" si="9"/>
        <v>4.5428083800000003</v>
      </c>
      <c r="F182" s="18">
        <f>AVERAGE($B$4:B180)</f>
        <v>3.1369726306795092</v>
      </c>
      <c r="G182" s="18">
        <f t="shared" si="5"/>
        <v>2.9111527308254637</v>
      </c>
      <c r="H182" s="19">
        <v>3</v>
      </c>
      <c r="I182" s="30">
        <f t="shared" si="6"/>
        <v>2.483268603</v>
      </c>
      <c r="J182" s="30">
        <f t="shared" si="7"/>
        <v>1.8527491224805201</v>
      </c>
      <c r="K182" s="30">
        <f t="shared" si="8"/>
        <v>1.1404602229999998</v>
      </c>
      <c r="L182" s="30">
        <f t="shared" si="0"/>
        <v>2.546295972320491</v>
      </c>
      <c r="M182" s="30">
        <f t="shared" si="1"/>
        <v>2.7721158721745365</v>
      </c>
      <c r="N182" s="30">
        <f t="shared" si="2"/>
        <v>2.6832686030000001</v>
      </c>
      <c r="O182" s="28">
        <f t="shared" si="3"/>
        <v>6.1666229546455718</v>
      </c>
      <c r="P182" s="28">
        <f t="shared" si="3"/>
        <v>3.4326793108523375</v>
      </c>
      <c r="Q182" s="28">
        <f t="shared" si="3"/>
        <v>1.3006495202452093</v>
      </c>
      <c r="R182" s="28">
        <f t="shared" si="3"/>
        <v>6.4836231786555549</v>
      </c>
      <c r="S182" s="28">
        <f t="shared" si="3"/>
        <v>7.6846264087619911</v>
      </c>
      <c r="T182" s="28">
        <f t="shared" si="3"/>
        <v>7.1999303958455725</v>
      </c>
    </row>
    <row r="183" spans="1:20" x14ac:dyDescent="0.2">
      <c r="A183" s="44">
        <v>41944</v>
      </c>
      <c r="B183" s="1">
        <v>5.451905161</v>
      </c>
      <c r="C183" s="1">
        <v>3.3</v>
      </c>
      <c r="D183" s="1">
        <v>4.0458598726114703</v>
      </c>
      <c r="E183" s="18">
        <f t="shared" si="9"/>
        <v>4.905575228</v>
      </c>
      <c r="F183" s="18">
        <f>AVERAGE($B$4:B181)</f>
        <v>3.146908600327377</v>
      </c>
      <c r="G183" s="18">
        <f t="shared" si="5"/>
        <v>2.9642183102254638</v>
      </c>
      <c r="H183" s="19">
        <v>3</v>
      </c>
      <c r="I183" s="30">
        <f t="shared" si="6"/>
        <v>2.1519051610000002</v>
      </c>
      <c r="J183" s="30">
        <f t="shared" si="7"/>
        <v>1.4060452883885297</v>
      </c>
      <c r="K183" s="30">
        <f t="shared" si="8"/>
        <v>0.54632993299999999</v>
      </c>
      <c r="L183" s="30">
        <f t="shared" si="0"/>
        <v>2.304996560672623</v>
      </c>
      <c r="M183" s="30">
        <f t="shared" si="1"/>
        <v>2.4876868507745362</v>
      </c>
      <c r="N183" s="30">
        <f t="shared" si="2"/>
        <v>2.451905161</v>
      </c>
      <c r="O183" s="28">
        <f t="shared" si="3"/>
        <v>4.6306958219384367</v>
      </c>
      <c r="P183" s="28">
        <f t="shared" si="3"/>
        <v>1.9769633529995836</v>
      </c>
      <c r="Q183" s="28">
        <f t="shared" si="3"/>
        <v>0.29847639569178447</v>
      </c>
      <c r="R183" s="28">
        <f t="shared" si="3"/>
        <v>5.3130091447126215</v>
      </c>
      <c r="S183" s="28">
        <f t="shared" si="3"/>
        <v>6.1885858675165295</v>
      </c>
      <c r="T183" s="28">
        <f t="shared" si="3"/>
        <v>6.0118389185384355</v>
      </c>
    </row>
    <row r="184" spans="1:20" x14ac:dyDescent="0.2">
      <c r="A184" s="44">
        <v>41974</v>
      </c>
      <c r="B184" s="1">
        <v>4.6463810380000004</v>
      </c>
      <c r="C184" s="1">
        <v>3.1</v>
      </c>
      <c r="D184" s="1">
        <v>4.1419354838709701</v>
      </c>
      <c r="E184" s="18">
        <f t="shared" si="9"/>
        <v>5.6832686030000001</v>
      </c>
      <c r="F184" s="18">
        <f>AVERAGE($B$4:B182)</f>
        <v>3.1610782092808551</v>
      </c>
      <c r="G184" s="18">
        <f t="shared" si="5"/>
        <v>3.025398614465463</v>
      </c>
      <c r="H184" s="19">
        <v>3</v>
      </c>
      <c r="I184" s="30">
        <f t="shared" si="6"/>
        <v>1.5463810380000003</v>
      </c>
      <c r="J184" s="30">
        <f t="shared" si="7"/>
        <v>0.50444555412903025</v>
      </c>
      <c r="K184" s="30">
        <f t="shared" si="8"/>
        <v>-1.0368875649999998</v>
      </c>
      <c r="L184" s="30">
        <f t="shared" si="0"/>
        <v>1.4853028287191452</v>
      </c>
      <c r="M184" s="30">
        <f t="shared" si="1"/>
        <v>1.6209824235345374</v>
      </c>
      <c r="N184" s="30">
        <f t="shared" si="2"/>
        <v>1.6463810380000004</v>
      </c>
      <c r="O184" s="28">
        <f t="shared" si="3"/>
        <v>2.3912943146859584</v>
      </c>
      <c r="P184" s="28">
        <f t="shared" si="3"/>
        <v>0.25446531708054437</v>
      </c>
      <c r="Q184" s="28">
        <f t="shared" si="3"/>
        <v>1.0751358224516288</v>
      </c>
      <c r="R184" s="28">
        <f t="shared" si="3"/>
        <v>2.2061244930010946</v>
      </c>
      <c r="S184" s="28">
        <f t="shared" si="3"/>
        <v>2.6275840174079024</v>
      </c>
      <c r="T184" s="28">
        <f t="shared" si="3"/>
        <v>2.7105705222859586</v>
      </c>
    </row>
    <row r="185" spans="1:20" x14ac:dyDescent="0.2">
      <c r="A185" s="44">
        <v>42005</v>
      </c>
      <c r="B185" s="1">
        <v>4.5402757539999996</v>
      </c>
      <c r="C185" s="1">
        <v>2.7</v>
      </c>
      <c r="D185" s="1">
        <v>4.0298701298701296</v>
      </c>
      <c r="E185" s="18">
        <f t="shared" si="9"/>
        <v>5.451905161</v>
      </c>
      <c r="F185" s="18">
        <f>AVERAGE($B$4:B183)</f>
        <v>3.1738050256792949</v>
      </c>
      <c r="G185" s="18">
        <f t="shared" si="5"/>
        <v>3.0969086125454637</v>
      </c>
      <c r="H185" s="19">
        <v>3</v>
      </c>
      <c r="I185" s="30">
        <f t="shared" si="6"/>
        <v>1.8402757539999994</v>
      </c>
      <c r="J185" s="30">
        <f t="shared" si="7"/>
        <v>0.51040562412987001</v>
      </c>
      <c r="K185" s="30">
        <f t="shared" si="8"/>
        <v>-0.91162940700000039</v>
      </c>
      <c r="L185" s="30">
        <f t="shared" si="0"/>
        <v>1.3664707283207047</v>
      </c>
      <c r="M185" s="30">
        <f t="shared" si="1"/>
        <v>1.4433671414545359</v>
      </c>
      <c r="N185" s="30">
        <f t="shared" si="2"/>
        <v>1.5402757539999996</v>
      </c>
      <c r="O185" s="28">
        <f t="shared" si="3"/>
        <v>3.3866148507602665</v>
      </c>
      <c r="P185" s="28">
        <f t="shared" si="3"/>
        <v>0.26051390114340212</v>
      </c>
      <c r="Q185" s="28">
        <f t="shared" si="3"/>
        <v>0.8310681757071724</v>
      </c>
      <c r="R185" s="28">
        <f t="shared" si="3"/>
        <v>1.8672422513573173</v>
      </c>
      <c r="S185" s="28">
        <f t="shared" si="3"/>
        <v>2.0833087050306385</v>
      </c>
      <c r="T185" s="28">
        <f t="shared" si="3"/>
        <v>2.3724493983602675</v>
      </c>
    </row>
    <row r="186" spans="1:20" x14ac:dyDescent="0.2">
      <c r="A186" s="44">
        <v>42036</v>
      </c>
      <c r="B186" s="1">
        <v>4.3999237579999999</v>
      </c>
      <c r="C186" s="1">
        <v>2.7</v>
      </c>
      <c r="D186" s="1">
        <v>3.6931250000000002</v>
      </c>
      <c r="E186" s="18">
        <f t="shared" si="9"/>
        <v>4.6463810380000004</v>
      </c>
      <c r="F186" s="18">
        <f>AVERAGE($B$4:B184)</f>
        <v>3.1819408047528897</v>
      </c>
      <c r="G186" s="18">
        <f t="shared" si="5"/>
        <v>3.1501568526454635</v>
      </c>
      <c r="H186" s="19">
        <v>3</v>
      </c>
      <c r="I186" s="30">
        <f t="shared" si="6"/>
        <v>1.6999237579999997</v>
      </c>
      <c r="J186" s="30">
        <f t="shared" si="7"/>
        <v>0.70679875799999969</v>
      </c>
      <c r="K186" s="30">
        <f t="shared" si="8"/>
        <v>-0.24645728000000044</v>
      </c>
      <c r="L186" s="30">
        <f t="shared" si="0"/>
        <v>1.2179829532471103</v>
      </c>
      <c r="M186" s="30">
        <f t="shared" si="1"/>
        <v>1.2497669053545364</v>
      </c>
      <c r="N186" s="30">
        <f t="shared" si="2"/>
        <v>1.3999237579999999</v>
      </c>
      <c r="O186" s="28">
        <f t="shared" si="3"/>
        <v>2.8897407830128414</v>
      </c>
      <c r="P186" s="28">
        <f t="shared" si="3"/>
        <v>0.49956448431034212</v>
      </c>
      <c r="Q186" s="28">
        <f t="shared" si="3"/>
        <v>6.0741190864998622E-2</v>
      </c>
      <c r="R186" s="28">
        <f t="shared" si="3"/>
        <v>1.4834824744005524</v>
      </c>
      <c r="S186" s="28">
        <f t="shared" si="3"/>
        <v>1.5619173177194547</v>
      </c>
      <c r="T186" s="28">
        <f t="shared" si="3"/>
        <v>1.9597865282128424</v>
      </c>
    </row>
    <row r="187" spans="1:20" x14ac:dyDescent="0.2">
      <c r="A187" s="44">
        <v>42064</v>
      </c>
      <c r="B187" s="1">
        <v>4.1840449919999996</v>
      </c>
      <c r="C187" s="1">
        <v>3</v>
      </c>
      <c r="D187" s="1">
        <v>3.6443661971830998</v>
      </c>
      <c r="E187" s="18">
        <f t="shared" si="9"/>
        <v>4.5402757539999996</v>
      </c>
      <c r="F187" s="18">
        <f>AVERAGE($B$4:B185)</f>
        <v>3.189404183594907</v>
      </c>
      <c r="G187" s="18">
        <f t="shared" si="5"/>
        <v>3.1917355800054632</v>
      </c>
      <c r="H187" s="19">
        <v>3</v>
      </c>
      <c r="I187" s="30">
        <f t="shared" si="6"/>
        <v>1.1840449919999996</v>
      </c>
      <c r="J187" s="30">
        <f t="shared" si="7"/>
        <v>0.53967879481689973</v>
      </c>
      <c r="K187" s="30">
        <f t="shared" si="8"/>
        <v>-0.35623076200000003</v>
      </c>
      <c r="L187" s="30">
        <f t="shared" si="0"/>
        <v>0.99464080840509261</v>
      </c>
      <c r="M187" s="30">
        <f t="shared" si="1"/>
        <v>0.99230941199453637</v>
      </c>
      <c r="N187" s="30">
        <f t="shared" si="2"/>
        <v>1.1840449919999996</v>
      </c>
      <c r="O187" s="28">
        <f t="shared" si="3"/>
        <v>1.4019625430802791</v>
      </c>
      <c r="P187" s="28">
        <f t="shared" si="3"/>
        <v>0.29125320157502138</v>
      </c>
      <c r="Q187" s="28">
        <f t="shared" si="3"/>
        <v>0.12690035579510067</v>
      </c>
      <c r="R187" s="28">
        <f t="shared" si="3"/>
        <v>0.9893103377447362</v>
      </c>
      <c r="S187" s="28">
        <f t="shared" si="3"/>
        <v>0.98467796913294248</v>
      </c>
      <c r="T187" s="28">
        <f t="shared" si="3"/>
        <v>1.4019625430802791</v>
      </c>
    </row>
    <row r="188" spans="1:20" x14ac:dyDescent="0.2">
      <c r="A188" s="44">
        <v>42095</v>
      </c>
      <c r="B188" s="1">
        <v>4.1362888599999996</v>
      </c>
      <c r="C188" s="1">
        <v>3</v>
      </c>
      <c r="D188" s="1">
        <v>3.6319727891156499</v>
      </c>
      <c r="E188" s="18">
        <f t="shared" si="9"/>
        <v>4.3999237579999999</v>
      </c>
      <c r="F188" s="18">
        <f>AVERAGE($B$4:B186)</f>
        <v>3.1960190446572301</v>
      </c>
      <c r="G188" s="18">
        <f t="shared" si="5"/>
        <v>3.2202766929454634</v>
      </c>
      <c r="H188" s="19">
        <v>3</v>
      </c>
      <c r="I188" s="30">
        <f t="shared" si="6"/>
        <v>1.1362888599999996</v>
      </c>
      <c r="J188" s="30">
        <f t="shared" si="7"/>
        <v>0.50431607088434971</v>
      </c>
      <c r="K188" s="30">
        <f t="shared" si="8"/>
        <v>-0.26363489800000028</v>
      </c>
      <c r="L188" s="30">
        <f t="shared" si="0"/>
        <v>0.94026981534276954</v>
      </c>
      <c r="M188" s="30">
        <f t="shared" si="1"/>
        <v>0.91601216705453625</v>
      </c>
      <c r="N188" s="30">
        <f t="shared" si="2"/>
        <v>1.1362888599999996</v>
      </c>
      <c r="O188" s="28">
        <f t="shared" si="3"/>
        <v>1.2911523733600987</v>
      </c>
      <c r="P188" s="28">
        <f t="shared" si="3"/>
        <v>0.25433469935222847</v>
      </c>
      <c r="Q188" s="28">
        <f t="shared" si="3"/>
        <v>6.9503359443470553E-2</v>
      </c>
      <c r="R188" s="28">
        <f t="shared" si="3"/>
        <v>0.88410732564472594</v>
      </c>
      <c r="S188" s="28">
        <f t="shared" si="3"/>
        <v>0.83907829019194768</v>
      </c>
      <c r="T188" s="28">
        <f t="shared" si="3"/>
        <v>1.2911523733600987</v>
      </c>
    </row>
    <row r="189" spans="1:20" x14ac:dyDescent="0.2">
      <c r="A189" s="44">
        <v>42125</v>
      </c>
      <c r="B189" s="1">
        <v>3.9692351779999999</v>
      </c>
      <c r="C189" s="1">
        <v>3.2</v>
      </c>
      <c r="D189" s="1">
        <v>3.8952702702702702</v>
      </c>
      <c r="E189" s="18">
        <f t="shared" si="9"/>
        <v>4.1840449919999996</v>
      </c>
      <c r="F189" s="18">
        <f>AVERAGE($B$4:B187)</f>
        <v>3.201388750892789</v>
      </c>
      <c r="G189" s="18">
        <f t="shared" si="5"/>
        <v>3.2495722405854632</v>
      </c>
      <c r="H189" s="19">
        <v>3</v>
      </c>
      <c r="I189" s="30">
        <f t="shared" si="6"/>
        <v>0.76923517799999974</v>
      </c>
      <c r="J189" s="30">
        <f t="shared" si="7"/>
        <v>7.3964907729729745E-2</v>
      </c>
      <c r="K189" s="30">
        <f t="shared" si="8"/>
        <v>-0.21480981399999965</v>
      </c>
      <c r="L189" s="30">
        <f t="shared" si="0"/>
        <v>0.76784642710721096</v>
      </c>
      <c r="M189" s="30">
        <f t="shared" si="1"/>
        <v>0.71966293741453669</v>
      </c>
      <c r="N189" s="30">
        <f t="shared" si="2"/>
        <v>0.96923517799999992</v>
      </c>
      <c r="O189" s="28">
        <f t="shared" si="3"/>
        <v>0.59172275907269134</v>
      </c>
      <c r="P189" s="28">
        <f t="shared" si="3"/>
        <v>5.4708075754674353E-3</v>
      </c>
      <c r="Q189" s="28">
        <f t="shared" si="3"/>
        <v>4.6143256190714445E-2</v>
      </c>
      <c r="R189" s="28">
        <f t="shared" si="3"/>
        <v>0.58958813562130941</v>
      </c>
      <c r="S189" s="28">
        <f t="shared" si="3"/>
        <v>0.51791474348811939</v>
      </c>
      <c r="T189" s="28">
        <f t="shared" si="3"/>
        <v>0.93941683027269152</v>
      </c>
    </row>
    <row r="190" spans="1:20" x14ac:dyDescent="0.2">
      <c r="A190" s="44">
        <v>42156</v>
      </c>
      <c r="B190" s="1">
        <v>4.4188928719999998</v>
      </c>
      <c r="C190" s="1">
        <v>3.1</v>
      </c>
      <c r="D190" s="1">
        <v>3.8374149659864001</v>
      </c>
      <c r="E190" s="18">
        <f t="shared" si="9"/>
        <v>4.1362888599999996</v>
      </c>
      <c r="F190" s="18">
        <f>AVERAGE($B$4:B188)</f>
        <v>3.2064422649960713</v>
      </c>
      <c r="G190" s="18">
        <f t="shared" si="5"/>
        <v>3.2789556166454634</v>
      </c>
      <c r="H190" s="19">
        <v>3</v>
      </c>
      <c r="I190" s="30">
        <f t="shared" si="6"/>
        <v>1.3188928719999997</v>
      </c>
      <c r="J190" s="30">
        <f t="shared" si="7"/>
        <v>0.58147790601359972</v>
      </c>
      <c r="K190" s="30">
        <f t="shared" si="8"/>
        <v>0.28260401200000018</v>
      </c>
      <c r="L190" s="30">
        <f t="shared" si="0"/>
        <v>1.2124506070039285</v>
      </c>
      <c r="M190" s="30">
        <f t="shared" si="1"/>
        <v>1.1399372553545364</v>
      </c>
      <c r="N190" s="30">
        <f t="shared" si="2"/>
        <v>1.4188928719999998</v>
      </c>
      <c r="O190" s="28">
        <f t="shared" si="3"/>
        <v>1.7394784078124077</v>
      </c>
      <c r="P190" s="28">
        <f t="shared" si="3"/>
        <v>0.33811655518196071</v>
      </c>
      <c r="Q190" s="28">
        <f t="shared" si="3"/>
        <v>7.9865027598496244E-2</v>
      </c>
      <c r="R190" s="28">
        <f t="shared" si="3"/>
        <v>1.4700364744241947</v>
      </c>
      <c r="S190" s="28">
        <f t="shared" si="3"/>
        <v>1.2994569461452334</v>
      </c>
      <c r="T190" s="28">
        <f t="shared" si="3"/>
        <v>2.013256982212408</v>
      </c>
    </row>
    <row r="191" spans="1:20" x14ac:dyDescent="0.2">
      <c r="A191" s="44">
        <v>42186</v>
      </c>
      <c r="B191" s="1">
        <v>4.6173670170000003</v>
      </c>
      <c r="C191" s="1">
        <v>3</v>
      </c>
      <c r="D191" s="1">
        <v>3.8013245033112599</v>
      </c>
      <c r="E191" s="18">
        <f t="shared" si="9"/>
        <v>3.9692351779999999</v>
      </c>
      <c r="F191" s="18">
        <f>AVERAGE($B$4:B189)</f>
        <v>3.2105433021627587</v>
      </c>
      <c r="G191" s="18">
        <f t="shared" si="5"/>
        <v>3.2910344696854632</v>
      </c>
      <c r="H191" s="19">
        <v>3</v>
      </c>
      <c r="I191" s="30">
        <f t="shared" si="6"/>
        <v>1.6173670170000003</v>
      </c>
      <c r="J191" s="30">
        <f t="shared" si="7"/>
        <v>0.81604251368874037</v>
      </c>
      <c r="K191" s="30">
        <f t="shared" si="8"/>
        <v>0.64813183900000038</v>
      </c>
      <c r="L191" s="30">
        <f t="shared" si="0"/>
        <v>1.4068237148372416</v>
      </c>
      <c r="M191" s="30">
        <f t="shared" si="1"/>
        <v>1.3263325473145371</v>
      </c>
      <c r="N191" s="30">
        <f t="shared" si="2"/>
        <v>1.6173670170000003</v>
      </c>
      <c r="O191" s="28">
        <f t="shared" si="3"/>
        <v>2.6158760676794794</v>
      </c>
      <c r="P191" s="28">
        <f t="shared" si="3"/>
        <v>0.66592538414743796</v>
      </c>
      <c r="Q191" s="28">
        <f t="shared" si="3"/>
        <v>0.4200748807255224</v>
      </c>
      <c r="R191" s="28">
        <f t="shared" si="3"/>
        <v>1.9791529646284562</v>
      </c>
      <c r="S191" s="28">
        <f t="shared" si="3"/>
        <v>1.7591580260658688</v>
      </c>
      <c r="T191" s="28">
        <f t="shared" si="3"/>
        <v>2.6158760676794794</v>
      </c>
    </row>
    <row r="192" spans="1:20" x14ac:dyDescent="0.2">
      <c r="A192" s="44">
        <v>42217</v>
      </c>
      <c r="B192" s="1">
        <v>4.9833540349999996</v>
      </c>
      <c r="C192" s="1">
        <v>3.2</v>
      </c>
      <c r="D192" s="1">
        <v>3.9352201257861599</v>
      </c>
      <c r="E192" s="18">
        <f t="shared" si="9"/>
        <v>4.4188928719999998</v>
      </c>
      <c r="F192" s="18">
        <f>AVERAGE($B$4:B190)</f>
        <v>3.2170050645683057</v>
      </c>
      <c r="G192" s="18">
        <f t="shared" si="5"/>
        <v>3.3150541152654629</v>
      </c>
      <c r="H192" s="19">
        <v>3</v>
      </c>
      <c r="I192" s="30">
        <f t="shared" si="6"/>
        <v>1.7833540349999994</v>
      </c>
      <c r="J192" s="30">
        <f t="shared" si="7"/>
        <v>1.0481339092138398</v>
      </c>
      <c r="K192" s="30">
        <f t="shared" si="8"/>
        <v>0.56446116299999982</v>
      </c>
      <c r="L192" s="30">
        <f t="shared" si="0"/>
        <v>1.7663489704316939</v>
      </c>
      <c r="M192" s="30">
        <f t="shared" si="1"/>
        <v>1.6682999197345367</v>
      </c>
      <c r="N192" s="30">
        <f t="shared" si="2"/>
        <v>1.9833540349999996</v>
      </c>
      <c r="O192" s="28">
        <f t="shared" si="3"/>
        <v>3.180351614150779</v>
      </c>
      <c r="P192" s="28">
        <f t="shared" si="3"/>
        <v>1.0985846916438857</v>
      </c>
      <c r="Q192" s="28">
        <f t="shared" si="3"/>
        <v>0.31861640453531237</v>
      </c>
      <c r="R192" s="28">
        <f t="shared" si="3"/>
        <v>3.1199886853451053</v>
      </c>
      <c r="S192" s="28">
        <f t="shared" si="3"/>
        <v>2.7832246221862618</v>
      </c>
      <c r="T192" s="28">
        <f t="shared" si="3"/>
        <v>3.9336932281507799</v>
      </c>
    </row>
    <row r="193" spans="1:20" x14ac:dyDescent="0.2">
      <c r="A193" s="44">
        <v>42248</v>
      </c>
      <c r="B193" s="1">
        <v>4.6448142179999996</v>
      </c>
      <c r="C193" s="1">
        <v>3.5</v>
      </c>
      <c r="D193" s="1">
        <v>4.2266666666666701</v>
      </c>
      <c r="E193" s="18">
        <f t="shared" si="9"/>
        <v>4.6173670170000003</v>
      </c>
      <c r="F193" s="18">
        <f>AVERAGE($B$4:B191)</f>
        <v>3.2244537983578359</v>
      </c>
      <c r="G193" s="18">
        <f t="shared" si="5"/>
        <v>3.3422202116054631</v>
      </c>
      <c r="H193" s="19">
        <v>3</v>
      </c>
      <c r="I193" s="30">
        <f t="shared" si="6"/>
        <v>1.1448142179999996</v>
      </c>
      <c r="J193" s="30">
        <f t="shared" si="7"/>
        <v>0.41814755133332948</v>
      </c>
      <c r="K193" s="30">
        <f t="shared" si="8"/>
        <v>2.7447200999999311E-2</v>
      </c>
      <c r="L193" s="30">
        <f t="shared" si="0"/>
        <v>1.4203604196421638</v>
      </c>
      <c r="M193" s="30">
        <f t="shared" si="1"/>
        <v>1.3025940063945365</v>
      </c>
      <c r="N193" s="30">
        <f t="shared" si="2"/>
        <v>1.6448142179999996</v>
      </c>
      <c r="O193" s="28">
        <f t="shared" si="3"/>
        <v>1.3105995937349506</v>
      </c>
      <c r="P193" s="28">
        <f t="shared" si="3"/>
        <v>0.1748473746860594</v>
      </c>
      <c r="Q193" s="28">
        <f t="shared" si="3"/>
        <v>7.5334884273436313E-4</v>
      </c>
      <c r="R193" s="28">
        <f t="shared" si="3"/>
        <v>2.0174237216860633</v>
      </c>
      <c r="S193" s="28">
        <f t="shared" si="3"/>
        <v>1.6967511454949697</v>
      </c>
      <c r="T193" s="28">
        <f t="shared" si="3"/>
        <v>2.7054138117349504</v>
      </c>
    </row>
    <row r="194" spans="1:20" x14ac:dyDescent="0.2">
      <c r="A194" s="44">
        <v>42278</v>
      </c>
      <c r="B194" s="1">
        <v>3.9892012989999999</v>
      </c>
      <c r="C194" s="1">
        <v>3.7</v>
      </c>
      <c r="D194" s="1">
        <v>4.5534246575342499</v>
      </c>
      <c r="E194" s="18">
        <f t="shared" si="9"/>
        <v>4.9833540349999996</v>
      </c>
      <c r="F194" s="18">
        <f>AVERAGE($B$4:B192)</f>
        <v>3.2337601488162604</v>
      </c>
      <c r="G194" s="18">
        <f t="shared" si="5"/>
        <v>3.3732088593854632</v>
      </c>
      <c r="H194" s="19">
        <v>3</v>
      </c>
      <c r="I194" s="30">
        <f t="shared" si="6"/>
        <v>0.28920129899999969</v>
      </c>
      <c r="J194" s="30">
        <f t="shared" si="7"/>
        <v>-0.56422335853424999</v>
      </c>
      <c r="K194" s="30">
        <f t="shared" si="8"/>
        <v>-0.99415273599999976</v>
      </c>
      <c r="L194" s="30">
        <f t="shared" si="0"/>
        <v>0.75544115018373947</v>
      </c>
      <c r="M194" s="30">
        <f t="shared" si="1"/>
        <v>0.61599243961453665</v>
      </c>
      <c r="N194" s="30">
        <f t="shared" si="2"/>
        <v>0.98920129899999987</v>
      </c>
      <c r="O194" s="28">
        <f t="shared" si="3"/>
        <v>8.3637391343287223E-2</v>
      </c>
      <c r="P194" s="28">
        <f t="shared" si="3"/>
        <v>0.31834799831566879</v>
      </c>
      <c r="Q194" s="28">
        <f t="shared" si="3"/>
        <v>0.98833966249628524</v>
      </c>
      <c r="R194" s="28">
        <f t="shared" si="3"/>
        <v>0.5706913313909312</v>
      </c>
      <c r="S194" s="28">
        <f t="shared" si="3"/>
        <v>0.37944668566226858</v>
      </c>
      <c r="T194" s="28">
        <f t="shared" si="3"/>
        <v>0.97851920994328712</v>
      </c>
    </row>
    <row r="195" spans="1:20" x14ac:dyDescent="0.2">
      <c r="A195" s="44">
        <v>42309</v>
      </c>
      <c r="B195" s="1">
        <v>3.9366702180000002</v>
      </c>
      <c r="C195" s="1">
        <v>3.5</v>
      </c>
      <c r="D195" s="1">
        <v>4.3953642384106004</v>
      </c>
      <c r="E195" s="18">
        <f t="shared" si="9"/>
        <v>4.6448142179999996</v>
      </c>
      <c r="F195" s="18">
        <f>AVERAGE($B$4:B193)</f>
        <v>3.2411867491803852</v>
      </c>
      <c r="G195" s="18">
        <f t="shared" si="5"/>
        <v>3.4080211588854632</v>
      </c>
      <c r="H195" s="19">
        <v>3</v>
      </c>
      <c r="I195" s="30">
        <f t="shared" si="6"/>
        <v>0.43667021800000017</v>
      </c>
      <c r="J195" s="30">
        <f t="shared" si="7"/>
        <v>-0.45869402041060026</v>
      </c>
      <c r="K195" s="30">
        <f t="shared" si="8"/>
        <v>-0.70814399999999944</v>
      </c>
      <c r="L195" s="30">
        <f t="shared" si="0"/>
        <v>0.69548346881961498</v>
      </c>
      <c r="M195" s="30">
        <f t="shared" si="1"/>
        <v>0.52864905911453697</v>
      </c>
      <c r="N195" s="30">
        <f t="shared" si="2"/>
        <v>0.93667021800000017</v>
      </c>
      <c r="O195" s="28">
        <f t="shared" si="3"/>
        <v>0.19068087928816768</v>
      </c>
      <c r="P195" s="28">
        <f t="shared" si="3"/>
        <v>0.21040020436044016</v>
      </c>
      <c r="Q195" s="28">
        <f t="shared" si="3"/>
        <v>0.50146792473599922</v>
      </c>
      <c r="R195" s="28">
        <f t="shared" si="3"/>
        <v>0.48369725540136438</v>
      </c>
      <c r="S195" s="28">
        <f t="shared" si="3"/>
        <v>0.27946982770268519</v>
      </c>
      <c r="T195" s="28">
        <f t="shared" si="3"/>
        <v>0.87735109728816785</v>
      </c>
    </row>
    <row r="196" spans="1:20" x14ac:dyDescent="0.2">
      <c r="A196" s="44">
        <v>42339</v>
      </c>
      <c r="B196" s="1">
        <v>4.3785121279999997</v>
      </c>
      <c r="C196" s="1">
        <v>3.5</v>
      </c>
      <c r="D196" s="1">
        <v>4.26644295302013</v>
      </c>
      <c r="E196" s="18">
        <f t="shared" si="9"/>
        <v>3.9892012989999999</v>
      </c>
      <c r="F196" s="18">
        <f>AVERAGE($B$4:B194)</f>
        <v>3.2451030557239431</v>
      </c>
      <c r="G196" s="18">
        <f t="shared" si="5"/>
        <v>3.4243554987254634</v>
      </c>
      <c r="H196" s="19">
        <v>3</v>
      </c>
      <c r="I196" s="30">
        <f t="shared" si="6"/>
        <v>0.87851212799999967</v>
      </c>
      <c r="J196" s="30">
        <f t="shared" si="7"/>
        <v>0.11206917497986968</v>
      </c>
      <c r="K196" s="30">
        <f t="shared" si="8"/>
        <v>0.3893108289999998</v>
      </c>
      <c r="L196" s="30">
        <f t="shared" si="0"/>
        <v>1.1334090722760566</v>
      </c>
      <c r="M196" s="30">
        <f t="shared" si="1"/>
        <v>0.95415662927453626</v>
      </c>
      <c r="N196" s="30">
        <f t="shared" si="2"/>
        <v>1.3785121279999997</v>
      </c>
      <c r="O196" s="28">
        <f t="shared" si="3"/>
        <v>0.77178355904308782</v>
      </c>
      <c r="P196" s="28">
        <f t="shared" si="3"/>
        <v>1.2559499980668649E-2</v>
      </c>
      <c r="Q196" s="28">
        <f t="shared" si="3"/>
        <v>0.15156292157666709</v>
      </c>
      <c r="R196" s="28">
        <f t="shared" si="3"/>
        <v>1.2846161251176713</v>
      </c>
      <c r="S196" s="28">
        <f t="shared" si="3"/>
        <v>0.91041487318854486</v>
      </c>
      <c r="T196" s="28">
        <f t="shared" si="3"/>
        <v>1.9002956870430874</v>
      </c>
    </row>
    <row r="197" spans="1:20" x14ac:dyDescent="0.2">
      <c r="A197" s="44">
        <v>42370</v>
      </c>
      <c r="B197" s="1">
        <v>4.7886569699999999</v>
      </c>
      <c r="C197" s="1">
        <v>3.5</v>
      </c>
      <c r="D197" s="1">
        <v>4.2218309859154903</v>
      </c>
      <c r="E197" s="18">
        <f t="shared" si="9"/>
        <v>3.9366702180000002</v>
      </c>
      <c r="F197" s="18">
        <f>AVERAGE($B$4:B195)</f>
        <v>3.2487049680274644</v>
      </c>
      <c r="G197" s="18">
        <f t="shared" si="5"/>
        <v>3.4376438673654635</v>
      </c>
      <c r="H197" s="19">
        <v>3</v>
      </c>
      <c r="I197" s="30">
        <f t="shared" si="6"/>
        <v>1.2886569699999999</v>
      </c>
      <c r="J197" s="30">
        <f t="shared" si="7"/>
        <v>0.56682598408450957</v>
      </c>
      <c r="K197" s="30">
        <f t="shared" si="8"/>
        <v>0.85198675199999974</v>
      </c>
      <c r="L197" s="30">
        <f t="shared" si="0"/>
        <v>1.5399520019725355</v>
      </c>
      <c r="M197" s="30">
        <f t="shared" si="1"/>
        <v>1.3510131026345364</v>
      </c>
      <c r="N197" s="30">
        <f t="shared" si="2"/>
        <v>1.7886569699999999</v>
      </c>
      <c r="O197" s="28">
        <f t="shared" si="3"/>
        <v>1.6606367863295806</v>
      </c>
      <c r="P197" s="28">
        <f t="shared" si="3"/>
        <v>0.32129169623337267</v>
      </c>
      <c r="Q197" s="28">
        <f t="shared" si="3"/>
        <v>0.7258814255835091</v>
      </c>
      <c r="R197" s="28">
        <f t="shared" si="3"/>
        <v>2.37145216837922</v>
      </c>
      <c r="S197" s="28">
        <f t="shared" si="3"/>
        <v>1.8252364034901964</v>
      </c>
      <c r="T197" s="28">
        <f t="shared" si="3"/>
        <v>3.1992937563295807</v>
      </c>
    </row>
    <row r="198" spans="1:20" x14ac:dyDescent="0.2">
      <c r="A198" s="44">
        <v>42401</v>
      </c>
      <c r="B198" s="1">
        <v>4.7116053879999997</v>
      </c>
      <c r="C198" s="1">
        <v>3.5</v>
      </c>
      <c r="D198" s="1">
        <v>4.0808510638297903</v>
      </c>
      <c r="E198" s="18">
        <f t="shared" si="9"/>
        <v>4.3785121279999997</v>
      </c>
      <c r="F198" s="18">
        <f>AVERAGE($B$4:B196)</f>
        <v>3.2545588911361305</v>
      </c>
      <c r="G198" s="18">
        <f t="shared" si="5"/>
        <v>3.4517761091054631</v>
      </c>
      <c r="H198" s="19">
        <v>3</v>
      </c>
      <c r="I198" s="30">
        <f t="shared" si="6"/>
        <v>1.2116053879999997</v>
      </c>
      <c r="J198" s="30">
        <f t="shared" si="7"/>
        <v>0.63075432417020938</v>
      </c>
      <c r="K198" s="30">
        <f t="shared" si="8"/>
        <v>0.33309326000000006</v>
      </c>
      <c r="L198" s="30">
        <f t="shared" si="0"/>
        <v>1.4570464968638692</v>
      </c>
      <c r="M198" s="30">
        <f t="shared" si="1"/>
        <v>1.2598292788945367</v>
      </c>
      <c r="N198" s="30">
        <f t="shared" si="2"/>
        <v>1.7116053879999997</v>
      </c>
      <c r="O198" s="28">
        <f t="shared" si="3"/>
        <v>1.4679876162306298</v>
      </c>
      <c r="P198" s="28">
        <f t="shared" si="3"/>
        <v>0.39785101745941759</v>
      </c>
      <c r="Q198" s="28">
        <f t="shared" si="3"/>
        <v>0.11095111985742764</v>
      </c>
      <c r="R198" s="28">
        <f t="shared" si="3"/>
        <v>2.1229844940232732</v>
      </c>
      <c r="S198" s="28">
        <f t="shared" si="3"/>
        <v>1.5871698119599282</v>
      </c>
      <c r="T198" s="28">
        <f t="shared" si="3"/>
        <v>2.9295930042306297</v>
      </c>
    </row>
    <row r="199" spans="1:20" x14ac:dyDescent="0.2">
      <c r="A199" s="44">
        <v>42430</v>
      </c>
      <c r="B199" s="1">
        <v>4.4520436060000002</v>
      </c>
      <c r="C199" s="1">
        <v>3.4</v>
      </c>
      <c r="D199" s="1">
        <v>4.1120300751879704</v>
      </c>
      <c r="E199" s="18">
        <f t="shared" si="9"/>
        <v>4.7886569699999999</v>
      </c>
      <c r="F199" s="18">
        <f>AVERAGE($B$4:B197)</f>
        <v>3.2624666131921298</v>
      </c>
      <c r="G199" s="18">
        <f t="shared" si="5"/>
        <v>3.4689950144054635</v>
      </c>
      <c r="H199" s="19">
        <v>3</v>
      </c>
      <c r="I199" s="30">
        <f t="shared" si="6"/>
        <v>1.0520436060000002</v>
      </c>
      <c r="J199" s="30">
        <f t="shared" si="7"/>
        <v>0.34001353081202979</v>
      </c>
      <c r="K199" s="30">
        <f t="shared" si="8"/>
        <v>-0.33661336399999975</v>
      </c>
      <c r="L199" s="30">
        <f t="shared" si="0"/>
        <v>1.1895769928078703</v>
      </c>
      <c r="M199" s="30">
        <f t="shared" si="1"/>
        <v>0.98304859159453661</v>
      </c>
      <c r="N199" s="30">
        <f t="shared" si="2"/>
        <v>1.4520436060000002</v>
      </c>
      <c r="O199" s="28">
        <f t="shared" si="3"/>
        <v>1.1067957489254838</v>
      </c>
      <c r="P199" s="28">
        <f t="shared" si="3"/>
        <v>0.11560920113526313</v>
      </c>
      <c r="Q199" s="28">
        <f t="shared" si="3"/>
        <v>0.11330855682339633</v>
      </c>
      <c r="R199" s="28">
        <f t="shared" si="3"/>
        <v>1.4150934218178159</v>
      </c>
      <c r="S199" s="28">
        <f t="shared" si="3"/>
        <v>0.96638453343600206</v>
      </c>
      <c r="T199" s="28">
        <f t="shared" si="3"/>
        <v>2.1084306337254839</v>
      </c>
    </row>
    <row r="200" spans="1:20" x14ac:dyDescent="0.2">
      <c r="A200" s="44">
        <v>42461</v>
      </c>
      <c r="B200" s="1">
        <v>4.1935543549999998</v>
      </c>
      <c r="C200" s="1">
        <v>3.3</v>
      </c>
      <c r="D200" s="1">
        <v>4.1043478260869604</v>
      </c>
      <c r="E200" s="18">
        <f t="shared" si="9"/>
        <v>4.7116053879999997</v>
      </c>
      <c r="F200" s="18">
        <f>AVERAGE($B$4:B198)</f>
        <v>3.2698980940885805</v>
      </c>
      <c r="G200" s="18">
        <f t="shared" si="5"/>
        <v>3.4744724662054636</v>
      </c>
      <c r="H200" s="19">
        <v>3</v>
      </c>
      <c r="I200" s="30">
        <f t="shared" si="6"/>
        <v>0.89355435500000002</v>
      </c>
      <c r="J200" s="30">
        <f t="shared" si="7"/>
        <v>8.9206528913039485E-2</v>
      </c>
      <c r="K200" s="30">
        <f t="shared" si="8"/>
        <v>-0.51805103299999988</v>
      </c>
      <c r="L200" s="30">
        <f t="shared" si="0"/>
        <v>0.92365626091141939</v>
      </c>
      <c r="M200" s="30">
        <f t="shared" si="1"/>
        <v>0.71908188879453627</v>
      </c>
      <c r="N200" s="30">
        <f t="shared" si="2"/>
        <v>1.1935543549999998</v>
      </c>
      <c r="O200" s="28">
        <f t="shared" si="3"/>
        <v>0.79843938533946601</v>
      </c>
      <c r="P200" s="28">
        <f t="shared" si="3"/>
        <v>7.9578048007129497E-3</v>
      </c>
      <c r="Q200" s="28">
        <f t="shared" si="3"/>
        <v>0.26837687279236699</v>
      </c>
      <c r="R200" s="28">
        <f t="shared" si="3"/>
        <v>0.8531408883208641</v>
      </c>
      <c r="S200" s="28">
        <f t="shared" si="3"/>
        <v>0.51707876279231779</v>
      </c>
      <c r="T200" s="28">
        <f t="shared" si="3"/>
        <v>1.4245719983394656</v>
      </c>
    </row>
    <row r="201" spans="1:20" x14ac:dyDescent="0.2">
      <c r="A201" s="44">
        <v>42491</v>
      </c>
      <c r="B201" s="1">
        <v>4.2432470169999998</v>
      </c>
      <c r="C201" s="1">
        <v>3.3</v>
      </c>
      <c r="D201" s="1">
        <v>4.0191780821917797</v>
      </c>
      <c r="E201" s="18">
        <f t="shared" si="9"/>
        <v>4.4520436060000002</v>
      </c>
      <c r="F201" s="18">
        <f>AVERAGE($B$4:B199)</f>
        <v>3.2759294487411896</v>
      </c>
      <c r="G201" s="18">
        <f t="shared" si="5"/>
        <v>3.4785641037454638</v>
      </c>
      <c r="H201" s="19">
        <v>3</v>
      </c>
      <c r="I201" s="30">
        <f t="shared" si="6"/>
        <v>0.94324701700000002</v>
      </c>
      <c r="J201" s="30">
        <f t="shared" si="7"/>
        <v>0.2240689348082201</v>
      </c>
      <c r="K201" s="30">
        <f t="shared" si="8"/>
        <v>-0.20879658900000031</v>
      </c>
      <c r="L201" s="30">
        <f t="shared" si="0"/>
        <v>0.96731756825881021</v>
      </c>
      <c r="M201" s="30">
        <f t="shared" si="1"/>
        <v>0.76468291325453608</v>
      </c>
      <c r="N201" s="30">
        <f t="shared" si="2"/>
        <v>1.2432470169999998</v>
      </c>
      <c r="O201" s="28">
        <f t="shared" si="3"/>
        <v>0.88971493507939836</v>
      </c>
      <c r="P201" s="28">
        <f t="shared" si="3"/>
        <v>5.0206887546090387E-2</v>
      </c>
      <c r="Q201" s="28">
        <f t="shared" si="3"/>
        <v>4.3596015578035052E-2</v>
      </c>
      <c r="R201" s="28">
        <f t="shared" si="3"/>
        <v>0.93570327786213792</v>
      </c>
      <c r="S201" s="28">
        <f t="shared" si="3"/>
        <v>0.58473995782344435</v>
      </c>
      <c r="T201" s="28">
        <f t="shared" si="3"/>
        <v>1.5456631452793979</v>
      </c>
    </row>
    <row r="202" spans="1:20" x14ac:dyDescent="0.2">
      <c r="A202" s="44">
        <v>42522</v>
      </c>
      <c r="B202" s="1">
        <v>4.2072360929999997</v>
      </c>
      <c r="C202" s="1">
        <v>3.2</v>
      </c>
      <c r="D202" s="1">
        <v>4.0378571428571401</v>
      </c>
      <c r="E202" s="18">
        <f t="shared" si="9"/>
        <v>4.1935543549999998</v>
      </c>
      <c r="F202" s="18">
        <f>AVERAGE($B$4:B200)</f>
        <v>3.2805874431892033</v>
      </c>
      <c r="G202" s="18">
        <f t="shared" si="5"/>
        <v>3.4741928932254638</v>
      </c>
      <c r="H202" s="19">
        <v>3</v>
      </c>
      <c r="I202" s="30">
        <f t="shared" si="6"/>
        <v>1.0072360929999995</v>
      </c>
      <c r="J202" s="30">
        <f t="shared" si="7"/>
        <v>0.16937895014285953</v>
      </c>
      <c r="K202" s="30">
        <f t="shared" si="8"/>
        <v>1.3681737999999832E-2</v>
      </c>
      <c r="L202" s="30">
        <f t="shared" si="0"/>
        <v>0.92664864981079642</v>
      </c>
      <c r="M202" s="30">
        <f t="shared" si="1"/>
        <v>0.73304319977453591</v>
      </c>
      <c r="N202" s="30">
        <f t="shared" si="2"/>
        <v>1.2072360929999997</v>
      </c>
      <c r="O202" s="28">
        <f t="shared" si="3"/>
        <v>1.0145245470419035</v>
      </c>
      <c r="P202" s="28">
        <f t="shared" si="3"/>
        <v>2.8689228751497296E-2</v>
      </c>
      <c r="Q202" s="28">
        <f t="shared" si="3"/>
        <v>1.8718995470063941E-4</v>
      </c>
      <c r="R202" s="28">
        <f t="shared" si="3"/>
        <v>0.85867772019617206</v>
      </c>
      <c r="S202" s="28">
        <f t="shared" si="3"/>
        <v>0.53735233273569016</v>
      </c>
      <c r="T202" s="28">
        <f t="shared" si="3"/>
        <v>1.4574189842419039</v>
      </c>
    </row>
    <row r="203" spans="1:20" x14ac:dyDescent="0.2">
      <c r="A203" s="44">
        <v>42552</v>
      </c>
      <c r="B203" s="1">
        <v>4.0195779539999998</v>
      </c>
      <c r="C203" s="1">
        <v>3.2</v>
      </c>
      <c r="D203" s="1">
        <v>3.9943661971830999</v>
      </c>
      <c r="E203" s="18">
        <f t="shared" si="9"/>
        <v>4.2432470169999998</v>
      </c>
      <c r="F203" s="18">
        <f>AVERAGE($B$4:B201)</f>
        <v>3.2854493602286521</v>
      </c>
      <c r="G203" s="18">
        <f t="shared" si="5"/>
        <v>3.483280845225464</v>
      </c>
      <c r="H203" s="19">
        <v>3</v>
      </c>
      <c r="I203" s="30">
        <f t="shared" si="6"/>
        <v>0.81957795399999966</v>
      </c>
      <c r="J203" s="30">
        <f t="shared" si="7"/>
        <v>2.5211756816899911E-2</v>
      </c>
      <c r="K203" s="30">
        <f t="shared" si="8"/>
        <v>-0.223669063</v>
      </c>
      <c r="L203" s="30">
        <f t="shared" si="0"/>
        <v>0.73412859377134776</v>
      </c>
      <c r="M203" s="30">
        <f t="shared" si="1"/>
        <v>0.53629710877453585</v>
      </c>
      <c r="N203" s="30">
        <f t="shared" si="2"/>
        <v>1.0195779539999998</v>
      </c>
      <c r="O203" s="28">
        <f t="shared" si="3"/>
        <v>0.67170802268282559</v>
      </c>
      <c r="P203" s="28">
        <f t="shared" si="3"/>
        <v>6.3563268179449913E-4</v>
      </c>
      <c r="Q203" s="28">
        <f t="shared" si="3"/>
        <v>5.0027849743297971E-2</v>
      </c>
      <c r="R203" s="28">
        <f t="shared" si="3"/>
        <v>0.53894479219269653</v>
      </c>
      <c r="S203" s="28">
        <f t="shared" si="3"/>
        <v>0.28761458887992636</v>
      </c>
      <c r="T203" s="28">
        <f t="shared" si="3"/>
        <v>1.0395392042828258</v>
      </c>
    </row>
    <row r="204" spans="1:20" x14ac:dyDescent="0.2">
      <c r="A204" s="44">
        <v>42583</v>
      </c>
      <c r="B204" s="1">
        <v>3.3719572059999998</v>
      </c>
      <c r="C204" s="1">
        <v>3.1</v>
      </c>
      <c r="D204" s="1">
        <v>3.9463576158940401</v>
      </c>
      <c r="E204" s="18">
        <f t="shared" si="9"/>
        <v>4.2072360929999997</v>
      </c>
      <c r="F204" s="18">
        <f>AVERAGE($B$4:B202)</f>
        <v>3.2900814543631816</v>
      </c>
      <c r="G204" s="18">
        <f t="shared" si="5"/>
        <v>3.4971992088054638</v>
      </c>
      <c r="H204" s="19">
        <v>3</v>
      </c>
      <c r="I204" s="30">
        <f t="shared" si="6"/>
        <v>0.27195720599999973</v>
      </c>
      <c r="J204" s="30">
        <f t="shared" si="7"/>
        <v>-0.57440040989404029</v>
      </c>
      <c r="K204" s="30">
        <f t="shared" si="8"/>
        <v>-0.83527888699999986</v>
      </c>
      <c r="L204" s="30">
        <f t="shared" si="0"/>
        <v>8.1875751636818261E-2</v>
      </c>
      <c r="M204" s="30">
        <f t="shared" si="1"/>
        <v>-0.12524200280546394</v>
      </c>
      <c r="N204" s="30">
        <f t="shared" si="2"/>
        <v>0.37195720599999982</v>
      </c>
      <c r="O204" s="28">
        <f t="shared" ref="O204:T246" si="10">I204^2</f>
        <v>7.3960721895326292E-2</v>
      </c>
      <c r="P204" s="28">
        <f t="shared" si="10"/>
        <v>0.32993583088644152</v>
      </c>
      <c r="Q204" s="28">
        <f t="shared" si="10"/>
        <v>0.69769081906795849</v>
      </c>
      <c r="R204" s="28">
        <f t="shared" si="10"/>
        <v>6.7036387060939485E-3</v>
      </c>
      <c r="S204" s="28">
        <f t="shared" si="10"/>
        <v>1.5685559266723836E-2</v>
      </c>
      <c r="T204" s="28">
        <f t="shared" si="10"/>
        <v>0.1383521630953263</v>
      </c>
    </row>
    <row r="205" spans="1:20" x14ac:dyDescent="0.2">
      <c r="A205" s="44">
        <v>42614</v>
      </c>
      <c r="B205" s="1">
        <v>3.0960034140000001</v>
      </c>
      <c r="C205" s="1">
        <v>3</v>
      </c>
      <c r="D205" s="1">
        <v>3.8875000000000002</v>
      </c>
      <c r="E205" s="18">
        <f t="shared" si="9"/>
        <v>4.0195779539999998</v>
      </c>
      <c r="F205" s="18">
        <f>AVERAGE($B$4:B203)</f>
        <v>3.293728936861366</v>
      </c>
      <c r="G205" s="18">
        <f t="shared" si="5"/>
        <v>3.5149765373854636</v>
      </c>
      <c r="H205" s="19">
        <v>3</v>
      </c>
      <c r="I205" s="30">
        <f t="shared" si="6"/>
        <v>9.600341400000012E-2</v>
      </c>
      <c r="J205" s="30">
        <f t="shared" si="7"/>
        <v>-0.79149658600000006</v>
      </c>
      <c r="K205" s="30">
        <f t="shared" si="8"/>
        <v>-0.92357453999999972</v>
      </c>
      <c r="L205" s="30">
        <f t="shared" si="0"/>
        <v>-0.19772552286136591</v>
      </c>
      <c r="M205" s="30">
        <f t="shared" si="1"/>
        <v>-0.41897312338546344</v>
      </c>
      <c r="N205" s="30">
        <f t="shared" si="2"/>
        <v>9.600341400000012E-2</v>
      </c>
      <c r="O205" s="28">
        <f t="shared" si="10"/>
        <v>9.2166554996554184E-3</v>
      </c>
      <c r="P205" s="28">
        <f t="shared" si="10"/>
        <v>0.62646684564965549</v>
      </c>
      <c r="Q205" s="28">
        <f t="shared" si="10"/>
        <v>0.85298993093621112</v>
      </c>
      <c r="R205" s="28">
        <f t="shared" si="10"/>
        <v>3.9095382390800536E-2</v>
      </c>
      <c r="S205" s="28">
        <f t="shared" si="10"/>
        <v>0.17553847811937076</v>
      </c>
      <c r="T205" s="28">
        <f t="shared" si="10"/>
        <v>9.2166554996554184E-3</v>
      </c>
    </row>
    <row r="206" spans="1:20" x14ac:dyDescent="0.2">
      <c r="A206" s="44">
        <v>42644</v>
      </c>
      <c r="B206" s="1">
        <v>2.8474208810000001</v>
      </c>
      <c r="C206" s="1">
        <v>3</v>
      </c>
      <c r="D206" s="1">
        <v>3.7948905109489099</v>
      </c>
      <c r="E206" s="18">
        <f t="shared" si="9"/>
        <v>3.3719572059999998</v>
      </c>
      <c r="F206" s="18">
        <f>AVERAGE($B$4:B204)</f>
        <v>3.2941181322302149</v>
      </c>
      <c r="G206" s="18">
        <f t="shared" si="5"/>
        <v>3.529393913705464</v>
      </c>
      <c r="H206" s="19">
        <v>3</v>
      </c>
      <c r="I206" s="30">
        <f t="shared" si="6"/>
        <v>-0.15257911899999987</v>
      </c>
      <c r="J206" s="30">
        <f t="shared" si="7"/>
        <v>-0.94746962994890982</v>
      </c>
      <c r="K206" s="30">
        <f t="shared" si="8"/>
        <v>-0.52453632499999969</v>
      </c>
      <c r="L206" s="30">
        <f t="shared" si="0"/>
        <v>-0.44669725123021475</v>
      </c>
      <c r="M206" s="30">
        <f t="shared" si="1"/>
        <v>-0.68197303270546383</v>
      </c>
      <c r="N206" s="30">
        <f t="shared" si="2"/>
        <v>-0.15257911899999987</v>
      </c>
      <c r="O206" s="28">
        <f t="shared" si="10"/>
        <v>2.3280387554816123E-2</v>
      </c>
      <c r="P206" s="28">
        <f t="shared" si="10"/>
        <v>0.89769869967552407</v>
      </c>
      <c r="Q206" s="28">
        <f t="shared" si="10"/>
        <v>0.27513835624450528</v>
      </c>
      <c r="R206" s="28">
        <f t="shared" si="10"/>
        <v>0.19953843425662959</v>
      </c>
      <c r="S206" s="28">
        <f t="shared" si="10"/>
        <v>0.46508721733748765</v>
      </c>
      <c r="T206" s="28">
        <f t="shared" si="10"/>
        <v>2.3280387554816123E-2</v>
      </c>
    </row>
    <row r="207" spans="1:20" x14ac:dyDescent="0.2">
      <c r="A207" s="44">
        <v>42675</v>
      </c>
      <c r="B207" s="1">
        <v>2.9292128069999999</v>
      </c>
      <c r="C207" s="1">
        <v>3</v>
      </c>
      <c r="D207" s="1">
        <v>3.5354014598540102</v>
      </c>
      <c r="E207" s="18">
        <f t="shared" si="9"/>
        <v>3.0960034140000001</v>
      </c>
      <c r="F207" s="18">
        <f>AVERAGE($B$4:B205)</f>
        <v>3.2931373662983825</v>
      </c>
      <c r="G207" s="18">
        <f t="shared" si="5"/>
        <v>3.5411650797054635</v>
      </c>
      <c r="H207" s="19">
        <v>3</v>
      </c>
      <c r="I207" s="30">
        <f t="shared" si="6"/>
        <v>-7.0787193000000137E-2</v>
      </c>
      <c r="J207" s="30">
        <f t="shared" si="7"/>
        <v>-0.60618865285401036</v>
      </c>
      <c r="K207" s="30">
        <f t="shared" si="8"/>
        <v>-0.16679060700000026</v>
      </c>
      <c r="L207" s="30">
        <f t="shared" si="0"/>
        <v>-0.36392455929838263</v>
      </c>
      <c r="M207" s="30">
        <f t="shared" si="1"/>
        <v>-0.6119522727054636</v>
      </c>
      <c r="N207" s="30">
        <f t="shared" si="2"/>
        <v>-7.0787193000000137E-2</v>
      </c>
      <c r="O207" s="28">
        <f t="shared" si="10"/>
        <v>5.0108266928192684E-3</v>
      </c>
      <c r="P207" s="28">
        <f t="shared" si="10"/>
        <v>0.36746468284895989</v>
      </c>
      <c r="Q207" s="28">
        <f t="shared" si="10"/>
        <v>2.7819106583428534E-2</v>
      </c>
      <c r="R207" s="28">
        <f t="shared" si="10"/>
        <v>0.13244108486052203</v>
      </c>
      <c r="S207" s="28">
        <f t="shared" si="10"/>
        <v>0.37448558406938209</v>
      </c>
      <c r="T207" s="28">
        <f t="shared" si="10"/>
        <v>5.0108266928192684E-3</v>
      </c>
    </row>
    <row r="208" spans="1:20" x14ac:dyDescent="0.2">
      <c r="A208" s="44">
        <v>42705</v>
      </c>
      <c r="B208" s="1">
        <v>2.7087246299999999</v>
      </c>
      <c r="C208" s="1">
        <v>3</v>
      </c>
      <c r="D208" s="1">
        <v>3.47348484848485</v>
      </c>
      <c r="E208" s="18">
        <f t="shared" si="9"/>
        <v>2.8474208810000001</v>
      </c>
      <c r="F208" s="18">
        <f>AVERAGE($B$4:B206)</f>
        <v>3.2909417185875527</v>
      </c>
      <c r="G208" s="18">
        <f t="shared" si="5"/>
        <v>3.5467568996054637</v>
      </c>
      <c r="H208" s="19">
        <v>3</v>
      </c>
      <c r="I208" s="30">
        <f t="shared" si="6"/>
        <v>-0.29127537000000014</v>
      </c>
      <c r="J208" s="30">
        <f t="shared" si="7"/>
        <v>-0.7647602184848501</v>
      </c>
      <c r="K208" s="30">
        <f t="shared" si="8"/>
        <v>-0.13869625100000027</v>
      </c>
      <c r="L208" s="30">
        <f t="shared" si="0"/>
        <v>-0.58221708858755283</v>
      </c>
      <c r="M208" s="30">
        <f t="shared" si="1"/>
        <v>-0.83803226960546384</v>
      </c>
      <c r="N208" s="30">
        <f t="shared" si="2"/>
        <v>-0.29127537000000014</v>
      </c>
      <c r="O208" s="28">
        <f t="shared" si="10"/>
        <v>8.484134116863698E-2</v>
      </c>
      <c r="P208" s="28">
        <f t="shared" si="10"/>
        <v>0.58485819177699561</v>
      </c>
      <c r="Q208" s="28">
        <f t="shared" si="10"/>
        <v>1.9236650041455076E-2</v>
      </c>
      <c r="R208" s="28">
        <f t="shared" si="10"/>
        <v>0.33897673824336633</v>
      </c>
      <c r="S208" s="28">
        <f t="shared" si="10"/>
        <v>0.70229808490008483</v>
      </c>
      <c r="T208" s="28">
        <f t="shared" si="10"/>
        <v>8.484134116863698E-2</v>
      </c>
    </row>
    <row r="209" spans="1:20" x14ac:dyDescent="0.2">
      <c r="A209" s="44">
        <v>42736</v>
      </c>
      <c r="B209" s="1">
        <v>2.7796949990000002</v>
      </c>
      <c r="C209" s="1">
        <v>2.9</v>
      </c>
      <c r="D209" s="1">
        <v>3.2762589928057499</v>
      </c>
      <c r="E209" s="18">
        <f t="shared" si="9"/>
        <v>2.9292128069999999</v>
      </c>
      <c r="F209" s="18">
        <f>AVERAGE($B$4:B207)</f>
        <v>3.2891685376483983</v>
      </c>
      <c r="G209" s="18">
        <f t="shared" si="5"/>
        <v>3.548441794565464</v>
      </c>
      <c r="H209" s="19">
        <v>3</v>
      </c>
      <c r="I209" s="30">
        <f t="shared" si="6"/>
        <v>-0.12030500099999974</v>
      </c>
      <c r="J209" s="30">
        <f t="shared" si="7"/>
        <v>-0.49656399380574978</v>
      </c>
      <c r="K209" s="30">
        <f t="shared" si="8"/>
        <v>-0.1495178079999997</v>
      </c>
      <c r="L209" s="30">
        <f t="shared" si="0"/>
        <v>-0.50947353864839817</v>
      </c>
      <c r="M209" s="30">
        <f t="shared" si="1"/>
        <v>-0.76874679556546388</v>
      </c>
      <c r="N209" s="30">
        <f t="shared" si="2"/>
        <v>-0.22030500099999983</v>
      </c>
      <c r="O209" s="28">
        <f t="shared" si="10"/>
        <v>1.447329326560994E-2</v>
      </c>
      <c r="P209" s="28">
        <f t="shared" si="10"/>
        <v>0.24657579994431672</v>
      </c>
      <c r="Q209" s="28">
        <f t="shared" si="10"/>
        <v>2.2355574909124775E-2</v>
      </c>
      <c r="R209" s="28">
        <f t="shared" si="10"/>
        <v>0.25956328658292088</v>
      </c>
      <c r="S209" s="28">
        <f t="shared" si="10"/>
        <v>0.59097163569216915</v>
      </c>
      <c r="T209" s="28">
        <f t="shared" si="10"/>
        <v>4.8534293465609925E-2</v>
      </c>
    </row>
    <row r="210" spans="1:20" x14ac:dyDescent="0.2">
      <c r="A210" s="44">
        <v>42767</v>
      </c>
      <c r="B210" s="1">
        <v>2.7401561050000001</v>
      </c>
      <c r="C210" s="1">
        <v>2.9</v>
      </c>
      <c r="D210" s="1">
        <v>3.1685314685314698</v>
      </c>
      <c r="E210" s="18">
        <f t="shared" si="9"/>
        <v>2.7087246299999999</v>
      </c>
      <c r="F210" s="18">
        <f>AVERAGE($B$4:B208)</f>
        <v>3.2863371039525524</v>
      </c>
      <c r="G210" s="18">
        <f t="shared" si="5"/>
        <v>3.5442173239054644</v>
      </c>
      <c r="H210" s="19">
        <v>3</v>
      </c>
      <c r="I210" s="30">
        <f t="shared" si="6"/>
        <v>-0.15984389499999985</v>
      </c>
      <c r="J210" s="30">
        <f t="shared" si="7"/>
        <v>-0.42837536353146977</v>
      </c>
      <c r="K210" s="30">
        <f t="shared" si="8"/>
        <v>3.1431475000000209E-2</v>
      </c>
      <c r="L210" s="30">
        <f t="shared" si="0"/>
        <v>-0.54618099895255234</v>
      </c>
      <c r="M210" s="30">
        <f t="shared" si="1"/>
        <v>-0.80406121890546434</v>
      </c>
      <c r="N210" s="30">
        <f t="shared" si="2"/>
        <v>-0.25984389499999994</v>
      </c>
      <c r="O210" s="28">
        <f t="shared" si="10"/>
        <v>2.5550070768770975E-2</v>
      </c>
      <c r="P210" s="28">
        <f t="shared" si="10"/>
        <v>0.18350545208071889</v>
      </c>
      <c r="Q210" s="28">
        <f t="shared" si="10"/>
        <v>9.879376206756382E-4</v>
      </c>
      <c r="R210" s="28">
        <f t="shared" si="10"/>
        <v>0.29831368361680799</v>
      </c>
      <c r="S210" s="28">
        <f t="shared" si="10"/>
        <v>0.64651444374774103</v>
      </c>
      <c r="T210" s="28">
        <f t="shared" si="10"/>
        <v>6.7518849768770997E-2</v>
      </c>
    </row>
    <row r="211" spans="1:20" x14ac:dyDescent="0.2">
      <c r="A211" s="44">
        <v>42795</v>
      </c>
      <c r="B211" s="1">
        <v>2.743114984</v>
      </c>
      <c r="C211" s="1">
        <v>2.9</v>
      </c>
      <c r="D211" s="1">
        <v>3.1798561151079099</v>
      </c>
      <c r="E211" s="18">
        <f t="shared" si="9"/>
        <v>2.7796949990000002</v>
      </c>
      <c r="F211" s="18">
        <f>AVERAGE($B$4:B209)</f>
        <v>3.2838776762586077</v>
      </c>
      <c r="G211" s="18">
        <f t="shared" si="5"/>
        <v>3.5571643484654647</v>
      </c>
      <c r="H211" s="19">
        <v>3</v>
      </c>
      <c r="I211" s="30">
        <f t="shared" si="6"/>
        <v>-0.15688501599999993</v>
      </c>
      <c r="J211" s="30">
        <f t="shared" si="7"/>
        <v>-0.43674113110790991</v>
      </c>
      <c r="K211" s="30">
        <f t="shared" si="8"/>
        <v>-3.6580015000000188E-2</v>
      </c>
      <c r="L211" s="30">
        <f t="shared" si="0"/>
        <v>-0.54076269225860774</v>
      </c>
      <c r="M211" s="30">
        <f t="shared" si="1"/>
        <v>-0.81404936446546472</v>
      </c>
      <c r="N211" s="30">
        <f t="shared" si="2"/>
        <v>-0.25688501600000002</v>
      </c>
      <c r="O211" s="28">
        <f t="shared" si="10"/>
        <v>2.4612908245320236E-2</v>
      </c>
      <c r="P211" s="28">
        <f t="shared" si="10"/>
        <v>0.19074281560141654</v>
      </c>
      <c r="Q211" s="28">
        <f t="shared" si="10"/>
        <v>1.3380974974002387E-3</v>
      </c>
      <c r="R211" s="28">
        <f t="shared" si="10"/>
        <v>0.29242428933877768</v>
      </c>
      <c r="S211" s="28">
        <f t="shared" si="10"/>
        <v>0.66267636778662697</v>
      </c>
      <c r="T211" s="28">
        <f t="shared" si="10"/>
        <v>6.5989911445320265E-2</v>
      </c>
    </row>
    <row r="212" spans="1:20" x14ac:dyDescent="0.2">
      <c r="A212" s="44">
        <v>42826</v>
      </c>
      <c r="B212" s="1">
        <v>2.6544988639999998</v>
      </c>
      <c r="C212" s="1">
        <v>3</v>
      </c>
      <c r="D212" s="1">
        <v>3.2104477611940299</v>
      </c>
      <c r="E212" s="18">
        <f t="shared" si="9"/>
        <v>2.7401561050000001</v>
      </c>
      <c r="F212" s="18">
        <f>AVERAGE($B$4:B210)</f>
        <v>3.2812510020013197</v>
      </c>
      <c r="G212" s="18">
        <f t="shared" si="5"/>
        <v>3.5822281780454643</v>
      </c>
      <c r="H212" s="19">
        <v>3</v>
      </c>
      <c r="I212" s="30">
        <f t="shared" si="6"/>
        <v>-0.34550113600000021</v>
      </c>
      <c r="J212" s="30">
        <f t="shared" si="7"/>
        <v>-0.55594889719403007</v>
      </c>
      <c r="K212" s="30">
        <f t="shared" ref="K212:K275" si="11">B212-E212</f>
        <v>-8.5657241000000273E-2</v>
      </c>
      <c r="L212" s="30">
        <f t="shared" ref="L212:L275" si="12">B212-F212</f>
        <v>-0.6267521380013199</v>
      </c>
      <c r="M212" s="30">
        <f t="shared" ref="M212:M275" si="13">B212-G212</f>
        <v>-0.92772931404546455</v>
      </c>
      <c r="N212" s="30">
        <f t="shared" si="2"/>
        <v>-0.34550113600000021</v>
      </c>
      <c r="O212" s="28">
        <f t="shared" si="10"/>
        <v>0.11937103497729064</v>
      </c>
      <c r="P212" s="28">
        <f t="shared" si="10"/>
        <v>0.3090791762912582</v>
      </c>
      <c r="Q212" s="28">
        <f t="shared" si="10"/>
        <v>7.3371629357321276E-3</v>
      </c>
      <c r="R212" s="28">
        <f t="shared" si="10"/>
        <v>0.39281824248922553</v>
      </c>
      <c r="S212" s="28">
        <f t="shared" si="10"/>
        <v>0.86068168013926816</v>
      </c>
      <c r="T212" s="28">
        <f t="shared" si="10"/>
        <v>0.11937103497729064</v>
      </c>
    </row>
    <row r="213" spans="1:20" x14ac:dyDescent="0.2">
      <c r="A213" s="44">
        <v>42856</v>
      </c>
      <c r="B213" s="1">
        <v>2.5545554890000002</v>
      </c>
      <c r="C213" s="1">
        <v>2.9</v>
      </c>
      <c r="D213" s="1">
        <v>3.1969465648855002</v>
      </c>
      <c r="E213" s="18">
        <f t="shared" si="9"/>
        <v>2.743114984</v>
      </c>
      <c r="F213" s="18">
        <f>AVERAGE($B$4:B211)</f>
        <v>3.2786638096070826</v>
      </c>
      <c r="G213" s="18">
        <f t="shared" si="5"/>
        <v>3.6055311713054636</v>
      </c>
      <c r="H213" s="19">
        <v>3</v>
      </c>
      <c r="I213" s="30">
        <f t="shared" si="6"/>
        <v>-0.34544451099999973</v>
      </c>
      <c r="J213" s="30">
        <f t="shared" si="7"/>
        <v>-0.64239107588550004</v>
      </c>
      <c r="K213" s="30">
        <f t="shared" si="11"/>
        <v>-0.1885594949999998</v>
      </c>
      <c r="L213" s="30">
        <f t="shared" si="12"/>
        <v>-0.72410832060708241</v>
      </c>
      <c r="M213" s="30">
        <f t="shared" si="13"/>
        <v>-1.0509756823054635</v>
      </c>
      <c r="N213" s="30">
        <f t="shared" ref="N213:N276" si="14">B213-H213</f>
        <v>-0.44544451099999982</v>
      </c>
      <c r="O213" s="28">
        <f t="shared" si="10"/>
        <v>0.11933191018002894</v>
      </c>
      <c r="P213" s="28">
        <f t="shared" si="10"/>
        <v>0.41266629437733027</v>
      </c>
      <c r="Q213" s="28">
        <f t="shared" si="10"/>
        <v>3.5554683154654952E-2</v>
      </c>
      <c r="R213" s="28">
        <f t="shared" si="10"/>
        <v>0.5243328599724093</v>
      </c>
      <c r="S213" s="28">
        <f t="shared" si="10"/>
        <v>1.1045498847974344</v>
      </c>
      <c r="T213" s="28">
        <f t="shared" si="10"/>
        <v>0.19842081238002895</v>
      </c>
    </row>
    <row r="214" spans="1:20" x14ac:dyDescent="0.2">
      <c r="A214" s="44">
        <v>42887</v>
      </c>
      <c r="B214" s="1">
        <v>1.6973592850000001</v>
      </c>
      <c r="C214" s="1">
        <v>2.9</v>
      </c>
      <c r="D214" s="1">
        <v>3.1375000000000002</v>
      </c>
      <c r="E214" s="18">
        <f t="shared" ref="E214:E277" si="15">B212</f>
        <v>2.6544988639999998</v>
      </c>
      <c r="F214" s="18">
        <f>AVERAGE($B$4:B212)</f>
        <v>3.2756773744606371</v>
      </c>
      <c r="G214" s="18">
        <f t="shared" ref="G214:G277" si="16">AVERAGE(B163:B212)</f>
        <v>3.6325229158854637</v>
      </c>
      <c r="H214" s="19">
        <v>3</v>
      </c>
      <c r="I214" s="30">
        <f t="shared" ref="I214:I277" si="17">B214-C214</f>
        <v>-1.2026407149999998</v>
      </c>
      <c r="J214" s="30">
        <f t="shared" ref="J214:J277" si="18">B214-D214</f>
        <v>-1.4401407150000001</v>
      </c>
      <c r="K214" s="30">
        <f t="shared" si="11"/>
        <v>-0.95713957899999969</v>
      </c>
      <c r="L214" s="30">
        <f t="shared" si="12"/>
        <v>-1.578318089460637</v>
      </c>
      <c r="M214" s="30">
        <f t="shared" si="13"/>
        <v>-1.9351636308854636</v>
      </c>
      <c r="N214" s="30">
        <f t="shared" si="14"/>
        <v>-1.3026407149999999</v>
      </c>
      <c r="O214" s="28">
        <f t="shared" si="10"/>
        <v>1.4463446893757108</v>
      </c>
      <c r="P214" s="28">
        <f t="shared" si="10"/>
        <v>2.0740052790007115</v>
      </c>
      <c r="Q214" s="28">
        <f t="shared" si="10"/>
        <v>0.91611617368829668</v>
      </c>
      <c r="R214" s="28">
        <f t="shared" si="10"/>
        <v>2.4910879915186754</v>
      </c>
      <c r="S214" s="28">
        <f t="shared" si="10"/>
        <v>3.7448582783018107</v>
      </c>
      <c r="T214" s="28">
        <f t="shared" si="10"/>
        <v>1.696872832375711</v>
      </c>
    </row>
    <row r="215" spans="1:20" x14ac:dyDescent="0.2">
      <c r="A215" s="44">
        <v>42917</v>
      </c>
      <c r="B215" s="1">
        <v>1.6965283470000001</v>
      </c>
      <c r="C215" s="1">
        <v>2.9</v>
      </c>
      <c r="D215" s="1">
        <v>3.0367999999999999</v>
      </c>
      <c r="E215" s="18">
        <f t="shared" si="15"/>
        <v>2.5545554890000002</v>
      </c>
      <c r="F215" s="18">
        <f>AVERAGE($B$4:B213)</f>
        <v>3.2722434607203486</v>
      </c>
      <c r="G215" s="18">
        <f t="shared" si="16"/>
        <v>3.6495439690054634</v>
      </c>
      <c r="H215" s="19">
        <v>3</v>
      </c>
      <c r="I215" s="30">
        <f t="shared" si="17"/>
        <v>-1.2034716529999998</v>
      </c>
      <c r="J215" s="30">
        <f t="shared" si="18"/>
        <v>-1.3402716529999998</v>
      </c>
      <c r="K215" s="30">
        <f t="shared" si="11"/>
        <v>-0.85802714200000008</v>
      </c>
      <c r="L215" s="30">
        <f t="shared" si="12"/>
        <v>-1.5757151137203484</v>
      </c>
      <c r="M215" s="30">
        <f t="shared" si="13"/>
        <v>-1.9530156220054633</v>
      </c>
      <c r="N215" s="30">
        <f t="shared" si="14"/>
        <v>-1.3034716529999999</v>
      </c>
      <c r="O215" s="28">
        <f t="shared" si="10"/>
        <v>1.4483440195745521</v>
      </c>
      <c r="P215" s="28">
        <f t="shared" si="10"/>
        <v>1.796328103835352</v>
      </c>
      <c r="Q215" s="28">
        <f t="shared" si="10"/>
        <v>0.73621057640868826</v>
      </c>
      <c r="R215" s="28">
        <f t="shared" si="10"/>
        <v>2.4828781196067307</v>
      </c>
      <c r="S215" s="28">
        <f t="shared" si="10"/>
        <v>3.8142700197973869</v>
      </c>
      <c r="T215" s="28">
        <f t="shared" si="10"/>
        <v>1.6990383501745521</v>
      </c>
    </row>
    <row r="216" spans="1:20" x14ac:dyDescent="0.2">
      <c r="A216" s="44">
        <v>42948</v>
      </c>
      <c r="B216" s="1">
        <v>1.8523399949999999</v>
      </c>
      <c r="C216" s="1">
        <v>2.7</v>
      </c>
      <c r="D216" s="1">
        <v>2.8427419354838701</v>
      </c>
      <c r="E216" s="18">
        <f t="shared" si="15"/>
        <v>1.6973592850000001</v>
      </c>
      <c r="F216" s="18">
        <f>AVERAGE($B$4:B214)</f>
        <v>3.2647795546742802</v>
      </c>
      <c r="G216" s="18">
        <f t="shared" si="16"/>
        <v>3.6540362368054633</v>
      </c>
      <c r="H216" s="19">
        <v>3</v>
      </c>
      <c r="I216" s="30">
        <f t="shared" si="17"/>
        <v>-0.84766000500000027</v>
      </c>
      <c r="J216" s="30">
        <f t="shared" si="18"/>
        <v>-0.9904019404838702</v>
      </c>
      <c r="K216" s="30">
        <f t="shared" si="11"/>
        <v>0.1549807099999998</v>
      </c>
      <c r="L216" s="30">
        <f t="shared" si="12"/>
        <v>-1.4124395596742803</v>
      </c>
      <c r="M216" s="30">
        <f t="shared" si="13"/>
        <v>-1.8016962418054634</v>
      </c>
      <c r="N216" s="30">
        <f t="shared" si="14"/>
        <v>-1.1476600050000001</v>
      </c>
      <c r="O216" s="28">
        <f t="shared" si="10"/>
        <v>0.7185274840766005</v>
      </c>
      <c r="P216" s="28">
        <f t="shared" si="10"/>
        <v>0.98089600371421559</v>
      </c>
      <c r="Q216" s="28">
        <f t="shared" si="10"/>
        <v>2.4019020472104038E-2</v>
      </c>
      <c r="R216" s="28">
        <f t="shared" si="10"/>
        <v>1.9949855097328746</v>
      </c>
      <c r="S216" s="28">
        <f t="shared" si="10"/>
        <v>3.2461093477359309</v>
      </c>
      <c r="T216" s="28">
        <f t="shared" si="10"/>
        <v>1.3171234870766002</v>
      </c>
    </row>
    <row r="217" spans="1:20" x14ac:dyDescent="0.2">
      <c r="A217" s="44">
        <v>42979</v>
      </c>
      <c r="B217" s="1">
        <v>1.4514575270000001</v>
      </c>
      <c r="C217" s="1">
        <v>2.7</v>
      </c>
      <c r="D217" s="1">
        <v>2.8433070866141699</v>
      </c>
      <c r="E217" s="18">
        <f t="shared" si="15"/>
        <v>1.6965283470000001</v>
      </c>
      <c r="F217" s="18">
        <f>AVERAGE($B$4:B215)</f>
        <v>3.2573821433173262</v>
      </c>
      <c r="G217" s="18">
        <f t="shared" si="16"/>
        <v>3.6602031459054638</v>
      </c>
      <c r="H217" s="19">
        <v>3</v>
      </c>
      <c r="I217" s="30">
        <f t="shared" si="17"/>
        <v>-1.2485424730000001</v>
      </c>
      <c r="J217" s="30">
        <f t="shared" si="18"/>
        <v>-1.3918495596141698</v>
      </c>
      <c r="K217" s="30">
        <f t="shared" si="11"/>
        <v>-0.24507082000000002</v>
      </c>
      <c r="L217" s="30">
        <f t="shared" si="12"/>
        <v>-1.8059246163173261</v>
      </c>
      <c r="M217" s="30">
        <f t="shared" si="13"/>
        <v>-2.2087456189054637</v>
      </c>
      <c r="N217" s="30">
        <f t="shared" si="14"/>
        <v>-1.5485424729999999</v>
      </c>
      <c r="O217" s="28">
        <f t="shared" si="10"/>
        <v>1.558858306884956</v>
      </c>
      <c r="P217" s="28">
        <f t="shared" si="10"/>
        <v>1.9372451965981583</v>
      </c>
      <c r="Q217" s="28">
        <f t="shared" si="10"/>
        <v>6.0059706815472409E-2</v>
      </c>
      <c r="R217" s="28">
        <f t="shared" si="10"/>
        <v>3.2613637198208818</v>
      </c>
      <c r="S217" s="28">
        <f t="shared" si="10"/>
        <v>4.8785572090340796</v>
      </c>
      <c r="T217" s="28">
        <f t="shared" si="10"/>
        <v>2.3979837906849553</v>
      </c>
    </row>
    <row r="218" spans="1:20" x14ac:dyDescent="0.2">
      <c r="A218" s="44">
        <v>43009</v>
      </c>
      <c r="B218" s="1">
        <v>1.8778073820000001</v>
      </c>
      <c r="C218" s="1">
        <v>2.7</v>
      </c>
      <c r="D218" s="1">
        <v>2.7918918918918898</v>
      </c>
      <c r="E218" s="18">
        <f t="shared" si="15"/>
        <v>1.8523399949999999</v>
      </c>
      <c r="F218" s="18">
        <f>AVERAGE($B$4:B216)</f>
        <v>3.2507857013064463</v>
      </c>
      <c r="G218" s="18">
        <f t="shared" si="16"/>
        <v>3.6541358409654636</v>
      </c>
      <c r="H218" s="19">
        <v>3</v>
      </c>
      <c r="I218" s="30">
        <f t="shared" si="17"/>
        <v>-0.8221926180000001</v>
      </c>
      <c r="J218" s="30">
        <f t="shared" si="18"/>
        <v>-0.91408450989188972</v>
      </c>
      <c r="K218" s="30">
        <f t="shared" si="11"/>
        <v>2.5467387000000175E-2</v>
      </c>
      <c r="L218" s="30">
        <f t="shared" si="12"/>
        <v>-1.3729783193064462</v>
      </c>
      <c r="M218" s="30">
        <f t="shared" si="13"/>
        <v>-1.7763284589654635</v>
      </c>
      <c r="N218" s="30">
        <f t="shared" si="14"/>
        <v>-1.1221926179999999</v>
      </c>
      <c r="O218" s="28">
        <f t="shared" si="10"/>
        <v>0.67600070109369403</v>
      </c>
      <c r="P218" s="28">
        <f t="shared" si="10"/>
        <v>0.83555049122429625</v>
      </c>
      <c r="Q218" s="28">
        <f t="shared" si="10"/>
        <v>6.4858780060777794E-4</v>
      </c>
      <c r="R218" s="28">
        <f t="shared" si="10"/>
        <v>1.8850694652855537</v>
      </c>
      <c r="S218" s="28">
        <f t="shared" si="10"/>
        <v>3.1553427941306187</v>
      </c>
      <c r="T218" s="28">
        <f t="shared" si="10"/>
        <v>1.2593162718936937</v>
      </c>
    </row>
    <row r="219" spans="1:20" x14ac:dyDescent="0.2">
      <c r="A219" s="44">
        <v>43040</v>
      </c>
      <c r="B219" s="1">
        <v>1.910216932</v>
      </c>
      <c r="C219" s="1">
        <v>2.5</v>
      </c>
      <c r="D219" s="1">
        <v>2.74461538461538</v>
      </c>
      <c r="E219" s="18">
        <f t="shared" si="15"/>
        <v>1.4514575270000001</v>
      </c>
      <c r="F219" s="18">
        <f>AVERAGE($B$4:B217)</f>
        <v>3.2423776257255752</v>
      </c>
      <c r="G219" s="18">
        <f t="shared" si="16"/>
        <v>3.6386833267654635</v>
      </c>
      <c r="H219" s="19">
        <v>3</v>
      </c>
      <c r="I219" s="30">
        <f t="shared" si="17"/>
        <v>-0.58978306800000002</v>
      </c>
      <c r="J219" s="30">
        <f t="shared" si="18"/>
        <v>-0.83439845261538004</v>
      </c>
      <c r="K219" s="30">
        <f t="shared" si="11"/>
        <v>0.4587594049999999</v>
      </c>
      <c r="L219" s="30">
        <f t="shared" si="12"/>
        <v>-1.3321606937255752</v>
      </c>
      <c r="M219" s="30">
        <f t="shared" si="13"/>
        <v>-1.7284663947654635</v>
      </c>
      <c r="N219" s="30">
        <f t="shared" si="14"/>
        <v>-1.089783068</v>
      </c>
      <c r="O219" s="28">
        <f t="shared" si="10"/>
        <v>0.34784406729949263</v>
      </c>
      <c r="P219" s="28">
        <f t="shared" si="10"/>
        <v>0.69622077772694058</v>
      </c>
      <c r="Q219" s="28">
        <f t="shared" si="10"/>
        <v>0.21046019167595392</v>
      </c>
      <c r="R219" s="28">
        <f t="shared" si="10"/>
        <v>1.7746521139074058</v>
      </c>
      <c r="S219" s="28">
        <f t="shared" si="10"/>
        <v>2.9875960778335191</v>
      </c>
      <c r="T219" s="28">
        <f t="shared" si="10"/>
        <v>1.1876271352994927</v>
      </c>
    </row>
    <row r="220" spans="1:20" x14ac:dyDescent="0.2">
      <c r="A220" s="44">
        <v>43070</v>
      </c>
      <c r="B220" s="1">
        <v>2.2695936360000002</v>
      </c>
      <c r="C220" s="1">
        <v>2.5</v>
      </c>
      <c r="D220" s="1">
        <v>2.7738461538461499</v>
      </c>
      <c r="E220" s="18">
        <f t="shared" si="15"/>
        <v>1.8778073820000001</v>
      </c>
      <c r="F220" s="18">
        <f>AVERAGE($B$4:B218)</f>
        <v>3.2360307873826657</v>
      </c>
      <c r="G220" s="18">
        <f t="shared" si="16"/>
        <v>3.6304664153454631</v>
      </c>
      <c r="H220" s="19">
        <v>3</v>
      </c>
      <c r="I220" s="30">
        <f t="shared" si="17"/>
        <v>-0.23040636399999981</v>
      </c>
      <c r="J220" s="30">
        <f t="shared" si="18"/>
        <v>-0.50425251784614966</v>
      </c>
      <c r="K220" s="30">
        <f t="shared" si="11"/>
        <v>0.39178625400000011</v>
      </c>
      <c r="L220" s="30">
        <f t="shared" si="12"/>
        <v>-0.9664371513826655</v>
      </c>
      <c r="M220" s="30">
        <f t="shared" si="13"/>
        <v>-1.3608727793454629</v>
      </c>
      <c r="N220" s="30">
        <f t="shared" si="14"/>
        <v>-0.73040636399999981</v>
      </c>
      <c r="O220" s="28">
        <f t="shared" si="10"/>
        <v>5.3087092571700405E-2</v>
      </c>
      <c r="P220" s="28">
        <f t="shared" si="10"/>
        <v>0.25427060175418148</v>
      </c>
      <c r="Q220" s="28">
        <f t="shared" si="10"/>
        <v>0.15349646882335261</v>
      </c>
      <c r="R220" s="28">
        <f t="shared" si="10"/>
        <v>0.93400076757264117</v>
      </c>
      <c r="S220" s="28">
        <f t="shared" si="10"/>
        <v>1.851974721563445</v>
      </c>
      <c r="T220" s="28">
        <f t="shared" si="10"/>
        <v>0.53349345657170022</v>
      </c>
    </row>
    <row r="221" spans="1:20" x14ac:dyDescent="0.2">
      <c r="A221" s="44">
        <v>43101</v>
      </c>
      <c r="B221" s="1">
        <v>2.1886507389999998</v>
      </c>
      <c r="C221" s="1">
        <v>2.7</v>
      </c>
      <c r="D221" s="1">
        <v>2.76160714285714</v>
      </c>
      <c r="E221" s="18">
        <f t="shared" si="15"/>
        <v>1.910216932</v>
      </c>
      <c r="F221" s="18">
        <f>AVERAGE($B$4:B219)</f>
        <v>3.2298927602744127</v>
      </c>
      <c r="G221" s="18">
        <f t="shared" si="16"/>
        <v>3.628590249805463</v>
      </c>
      <c r="H221" s="19">
        <v>3</v>
      </c>
      <c r="I221" s="30">
        <f t="shared" si="17"/>
        <v>-0.51134926100000033</v>
      </c>
      <c r="J221" s="30">
        <f t="shared" si="18"/>
        <v>-0.5729564038571402</v>
      </c>
      <c r="K221" s="30">
        <f t="shared" si="11"/>
        <v>0.27843380699999987</v>
      </c>
      <c r="L221" s="30">
        <f t="shared" si="12"/>
        <v>-1.0412420212744129</v>
      </c>
      <c r="M221" s="30">
        <f t="shared" si="13"/>
        <v>-1.4399395108054631</v>
      </c>
      <c r="N221" s="30">
        <f t="shared" si="14"/>
        <v>-0.81134926100000015</v>
      </c>
      <c r="O221" s="28">
        <f t="shared" si="10"/>
        <v>0.26147806672524648</v>
      </c>
      <c r="P221" s="28">
        <f t="shared" si="10"/>
        <v>0.32827904072090636</v>
      </c>
      <c r="Q221" s="28">
        <f t="shared" si="10"/>
        <v>7.7525384880513179E-2</v>
      </c>
      <c r="R221" s="28">
        <f t="shared" si="10"/>
        <v>1.084184946867625</v>
      </c>
      <c r="S221" s="28">
        <f t="shared" si="10"/>
        <v>2.0734257947786765</v>
      </c>
      <c r="T221" s="28">
        <f t="shared" si="10"/>
        <v>0.65828762332524637</v>
      </c>
    </row>
    <row r="222" spans="1:20" x14ac:dyDescent="0.2">
      <c r="A222" s="44">
        <v>43132</v>
      </c>
      <c r="B222" s="1">
        <v>2.0503282409999999</v>
      </c>
      <c r="C222" s="1">
        <v>2.6</v>
      </c>
      <c r="D222" s="1">
        <v>2.7229357799999998</v>
      </c>
      <c r="E222" s="18">
        <f t="shared" si="15"/>
        <v>2.2695936360000002</v>
      </c>
      <c r="F222" s="18">
        <f>AVERAGE($B$4:B220)</f>
        <v>3.2254674186878947</v>
      </c>
      <c r="G222" s="18">
        <f t="shared" si="16"/>
        <v>3.6392021861854631</v>
      </c>
      <c r="H222" s="19">
        <v>3</v>
      </c>
      <c r="I222" s="30">
        <f t="shared" si="17"/>
        <v>-0.5496717590000002</v>
      </c>
      <c r="J222" s="30">
        <f t="shared" si="18"/>
        <v>-0.67260753899999992</v>
      </c>
      <c r="K222" s="30">
        <f t="shared" si="11"/>
        <v>-0.21926539500000031</v>
      </c>
      <c r="L222" s="30">
        <f t="shared" si="12"/>
        <v>-1.1751391776878948</v>
      </c>
      <c r="M222" s="30">
        <f t="shared" si="13"/>
        <v>-1.5888739451854632</v>
      </c>
      <c r="N222" s="30">
        <f t="shared" si="14"/>
        <v>-0.94967175900000012</v>
      </c>
      <c r="O222" s="28">
        <f t="shared" si="10"/>
        <v>0.3021390426421543</v>
      </c>
      <c r="P222" s="28">
        <f t="shared" si="10"/>
        <v>0.45240090151963641</v>
      </c>
      <c r="Q222" s="28">
        <f t="shared" si="10"/>
        <v>4.8077313444506158E-2</v>
      </c>
      <c r="R222" s="28">
        <f t="shared" si="10"/>
        <v>1.3809520869369816</v>
      </c>
      <c r="S222" s="28">
        <f t="shared" si="10"/>
        <v>2.5245204136892183</v>
      </c>
      <c r="T222" s="28">
        <f t="shared" si="10"/>
        <v>0.90187644984215432</v>
      </c>
    </row>
    <row r="223" spans="1:20" x14ac:dyDescent="0.2">
      <c r="A223" s="44">
        <v>43160</v>
      </c>
      <c r="B223" s="1">
        <v>1.866031768</v>
      </c>
      <c r="C223" s="1">
        <v>2.6</v>
      </c>
      <c r="D223" s="1">
        <v>2.8258620689999998</v>
      </c>
      <c r="E223" s="18">
        <f t="shared" si="15"/>
        <v>2.1886507389999998</v>
      </c>
      <c r="F223" s="18">
        <f>AVERAGE($B$4:B221)</f>
        <v>3.2207113788728123</v>
      </c>
      <c r="G223" s="18">
        <f t="shared" si="16"/>
        <v>3.6339974017254639</v>
      </c>
      <c r="H223" s="19">
        <v>3</v>
      </c>
      <c r="I223" s="30">
        <f t="shared" si="17"/>
        <v>-0.73396823200000005</v>
      </c>
      <c r="J223" s="30">
        <f t="shared" si="18"/>
        <v>-0.95983030099999977</v>
      </c>
      <c r="K223" s="30">
        <f t="shared" si="11"/>
        <v>-0.32261897099999981</v>
      </c>
      <c r="L223" s="30">
        <f t="shared" si="12"/>
        <v>-1.3546796108728123</v>
      </c>
      <c r="M223" s="30">
        <f t="shared" si="13"/>
        <v>-1.7679656337254639</v>
      </c>
      <c r="N223" s="30">
        <f t="shared" si="14"/>
        <v>-1.133968232</v>
      </c>
      <c r="O223" s="28">
        <f t="shared" si="10"/>
        <v>0.53870936558520588</v>
      </c>
      <c r="P223" s="28">
        <f t="shared" si="10"/>
        <v>0.92127420671775018</v>
      </c>
      <c r="Q223" s="28">
        <f t="shared" si="10"/>
        <v>0.10408300044909873</v>
      </c>
      <c r="R223" s="28">
        <f t="shared" si="10"/>
        <v>1.8351568481145142</v>
      </c>
      <c r="S223" s="28">
        <f t="shared" si="10"/>
        <v>3.1257024820342814</v>
      </c>
      <c r="T223" s="28">
        <f t="shared" si="10"/>
        <v>1.2858839511852058</v>
      </c>
    </row>
    <row r="224" spans="1:20" x14ac:dyDescent="0.2">
      <c r="A224" s="44">
        <v>43191</v>
      </c>
      <c r="B224" s="1">
        <v>1.8946598990000001</v>
      </c>
      <c r="C224" s="1">
        <v>2.6</v>
      </c>
      <c r="D224" s="1">
        <v>2.7889830510000002</v>
      </c>
      <c r="E224" s="18">
        <f t="shared" si="15"/>
        <v>2.0503282409999999</v>
      </c>
      <c r="F224" s="18">
        <f>AVERAGE($B$4:B222)</f>
        <v>3.2153671636313841</v>
      </c>
      <c r="G224" s="18">
        <f t="shared" si="16"/>
        <v>3.6182424704254634</v>
      </c>
      <c r="H224" s="19">
        <v>3</v>
      </c>
      <c r="I224" s="30">
        <f t="shared" si="17"/>
        <v>-0.705340101</v>
      </c>
      <c r="J224" s="30">
        <f t="shared" si="18"/>
        <v>-0.89432315200000012</v>
      </c>
      <c r="K224" s="30">
        <f t="shared" si="11"/>
        <v>-0.15566834199999979</v>
      </c>
      <c r="L224" s="30">
        <f t="shared" si="12"/>
        <v>-1.320707264631384</v>
      </c>
      <c r="M224" s="30">
        <f t="shared" si="13"/>
        <v>-1.7235825714254633</v>
      </c>
      <c r="N224" s="30">
        <f t="shared" si="14"/>
        <v>-1.1053401009999999</v>
      </c>
      <c r="O224" s="28">
        <f t="shared" si="10"/>
        <v>0.49750465807869021</v>
      </c>
      <c r="P224" s="28">
        <f t="shared" si="10"/>
        <v>0.7998139002032153</v>
      </c>
      <c r="Q224" s="28">
        <f t="shared" si="10"/>
        <v>2.4232632701028899E-2</v>
      </c>
      <c r="R224" s="28">
        <f t="shared" si="10"/>
        <v>1.7442676788501126</v>
      </c>
      <c r="S224" s="28">
        <f t="shared" si="10"/>
        <v>2.9707368805216126</v>
      </c>
      <c r="T224" s="28">
        <f t="shared" si="10"/>
        <v>1.22177673887869</v>
      </c>
    </row>
    <row r="225" spans="1:20" x14ac:dyDescent="0.2">
      <c r="A225" s="44">
        <v>43221</v>
      </c>
      <c r="B225" s="1">
        <v>2.028635762</v>
      </c>
      <c r="C225" s="1">
        <v>2.7</v>
      </c>
      <c r="D225" s="1">
        <v>2.7622641510000001</v>
      </c>
      <c r="E225" s="18">
        <f t="shared" si="15"/>
        <v>1.866031768</v>
      </c>
      <c r="F225" s="18">
        <f>AVERAGE($B$4:B223)</f>
        <v>3.2092338209239686</v>
      </c>
      <c r="G225" s="18">
        <f t="shared" si="16"/>
        <v>3.5987760982654629</v>
      </c>
      <c r="H225" s="19">
        <v>3</v>
      </c>
      <c r="I225" s="30">
        <f t="shared" si="17"/>
        <v>-0.67136423800000022</v>
      </c>
      <c r="J225" s="30">
        <f t="shared" si="18"/>
        <v>-0.73362838900000016</v>
      </c>
      <c r="K225" s="30">
        <f t="shared" si="11"/>
        <v>0.16260399399999992</v>
      </c>
      <c r="L225" s="30">
        <f t="shared" si="12"/>
        <v>-1.1805980589239686</v>
      </c>
      <c r="M225" s="30">
        <f t="shared" si="13"/>
        <v>-1.5701403362654629</v>
      </c>
      <c r="N225" s="30">
        <f t="shared" si="14"/>
        <v>-0.97136423800000005</v>
      </c>
      <c r="O225" s="28">
        <f t="shared" si="10"/>
        <v>0.45072994006532097</v>
      </c>
      <c r="P225" s="28">
        <f t="shared" si="10"/>
        <v>0.53821061314673557</v>
      </c>
      <c r="Q225" s="28">
        <f t="shared" si="10"/>
        <v>2.6440058864752009E-2</v>
      </c>
      <c r="R225" s="28">
        <f t="shared" si="10"/>
        <v>1.3938117767350424</v>
      </c>
      <c r="S225" s="28">
        <f t="shared" si="10"/>
        <v>2.4653406755678211</v>
      </c>
      <c r="T225" s="28">
        <f t="shared" si="10"/>
        <v>0.94354848286532078</v>
      </c>
    </row>
    <row r="226" spans="1:20" x14ac:dyDescent="0.2">
      <c r="A226" s="44">
        <v>43252</v>
      </c>
      <c r="B226" s="1">
        <v>2.5221711529999999</v>
      </c>
      <c r="C226" s="1">
        <v>2.8</v>
      </c>
      <c r="D226" s="1">
        <v>2.7648648649999998</v>
      </c>
      <c r="E226" s="18">
        <f t="shared" si="15"/>
        <v>1.8946598990000001</v>
      </c>
      <c r="F226" s="18">
        <f>AVERAGE($B$4:B224)</f>
        <v>3.2032855226347197</v>
      </c>
      <c r="G226" s="18">
        <f t="shared" si="16"/>
        <v>3.5723196158854642</v>
      </c>
      <c r="H226" s="19">
        <v>3</v>
      </c>
      <c r="I226" s="30">
        <f t="shared" si="17"/>
        <v>-0.27782884699999988</v>
      </c>
      <c r="J226" s="30">
        <f t="shared" si="18"/>
        <v>-0.24269371199999989</v>
      </c>
      <c r="K226" s="30">
        <f t="shared" si="11"/>
        <v>0.62751125399999985</v>
      </c>
      <c r="L226" s="30">
        <f t="shared" si="12"/>
        <v>-0.68111436963471972</v>
      </c>
      <c r="M226" s="30">
        <f t="shared" si="13"/>
        <v>-1.0501484628854643</v>
      </c>
      <c r="N226" s="30">
        <f t="shared" si="14"/>
        <v>-0.47782884700000006</v>
      </c>
      <c r="O226" s="28">
        <f t="shared" si="10"/>
        <v>7.7188868225349344E-2</v>
      </c>
      <c r="P226" s="28">
        <f t="shared" si="10"/>
        <v>5.8900237844338892E-2</v>
      </c>
      <c r="Q226" s="28">
        <f t="shared" si="10"/>
        <v>0.39377037389665231</v>
      </c>
      <c r="R226" s="28">
        <f t="shared" si="10"/>
        <v>0.46391678452290158</v>
      </c>
      <c r="S226" s="28">
        <f t="shared" si="10"/>
        <v>1.1028117941007034</v>
      </c>
      <c r="T226" s="28">
        <f t="shared" si="10"/>
        <v>0.22832040702534948</v>
      </c>
    </row>
    <row r="227" spans="1:20" x14ac:dyDescent="0.2">
      <c r="A227" s="44">
        <v>43282</v>
      </c>
      <c r="B227" s="1">
        <v>2.607997583</v>
      </c>
      <c r="C227" s="1">
        <v>2.9</v>
      </c>
      <c r="D227" s="1">
        <v>2.8396551720000001</v>
      </c>
      <c r="E227" s="18">
        <f t="shared" si="15"/>
        <v>2.028635762</v>
      </c>
      <c r="F227" s="18">
        <f>AVERAGE($B$4:B225)</f>
        <v>3.1979943074967254</v>
      </c>
      <c r="G227" s="18">
        <f t="shared" si="16"/>
        <v>3.5427942092199998</v>
      </c>
      <c r="H227" s="19">
        <v>3</v>
      </c>
      <c r="I227" s="30">
        <f t="shared" si="17"/>
        <v>-0.29200241699999996</v>
      </c>
      <c r="J227" s="30">
        <f t="shared" si="18"/>
        <v>-0.23165758900000011</v>
      </c>
      <c r="K227" s="30">
        <f t="shared" si="11"/>
        <v>0.579361821</v>
      </c>
      <c r="L227" s="30">
        <f t="shared" si="12"/>
        <v>-0.58999672449672547</v>
      </c>
      <c r="M227" s="30">
        <f t="shared" si="13"/>
        <v>-0.93479662621999982</v>
      </c>
      <c r="N227" s="30">
        <f t="shared" si="14"/>
        <v>-0.39200241700000005</v>
      </c>
      <c r="O227" s="28">
        <f t="shared" si="10"/>
        <v>8.5265411533841859E-2</v>
      </c>
      <c r="P227" s="28">
        <f t="shared" si="10"/>
        <v>5.3665238541292973E-2</v>
      </c>
      <c r="Q227" s="28">
        <f t="shared" si="10"/>
        <v>0.33566011963243603</v>
      </c>
      <c r="R227" s="28">
        <f t="shared" si="10"/>
        <v>0.34809613491686497</v>
      </c>
      <c r="S227" s="28">
        <f t="shared" si="10"/>
        <v>0.8738447323922941</v>
      </c>
      <c r="T227" s="28">
        <f t="shared" si="10"/>
        <v>0.15366589493384192</v>
      </c>
    </row>
    <row r="228" spans="1:20" x14ac:dyDescent="0.2">
      <c r="A228" s="44">
        <v>43313</v>
      </c>
      <c r="B228" s="1">
        <v>2.4875616250000001</v>
      </c>
      <c r="C228" s="1">
        <v>3</v>
      </c>
      <c r="D228" s="1">
        <v>2.8895370370000002</v>
      </c>
      <c r="E228" s="18">
        <f t="shared" si="15"/>
        <v>2.5221711529999999</v>
      </c>
      <c r="F228" s="18">
        <f>AVERAGE($B$4:B226)</f>
        <v>3.1949637103913591</v>
      </c>
      <c r="G228" s="18">
        <f t="shared" si="16"/>
        <v>3.5066060912599992</v>
      </c>
      <c r="H228" s="19">
        <v>3</v>
      </c>
      <c r="I228" s="30">
        <f t="shared" si="17"/>
        <v>-0.51243837499999989</v>
      </c>
      <c r="J228" s="30">
        <f t="shared" si="18"/>
        <v>-0.40197541200000009</v>
      </c>
      <c r="K228" s="30">
        <f t="shared" si="11"/>
        <v>-3.4609527999999834E-2</v>
      </c>
      <c r="L228" s="30">
        <f t="shared" si="12"/>
        <v>-0.70740208539135896</v>
      </c>
      <c r="M228" s="30">
        <f t="shared" si="13"/>
        <v>-1.0190444662599991</v>
      </c>
      <c r="N228" s="30">
        <f t="shared" si="14"/>
        <v>-0.51243837499999989</v>
      </c>
      <c r="O228" s="28">
        <f t="shared" si="10"/>
        <v>0.26259308817264049</v>
      </c>
      <c r="P228" s="28">
        <f t="shared" si="10"/>
        <v>0.16158423185256982</v>
      </c>
      <c r="Q228" s="28">
        <f t="shared" si="10"/>
        <v>1.1978194283827725E-3</v>
      </c>
      <c r="R228" s="28">
        <f t="shared" si="10"/>
        <v>0.50041771041604355</v>
      </c>
      <c r="S228" s="28">
        <f t="shared" si="10"/>
        <v>1.0384516242151265</v>
      </c>
      <c r="T228" s="28">
        <f t="shared" si="10"/>
        <v>0.26259308817264049</v>
      </c>
    </row>
    <row r="229" spans="1:20" x14ac:dyDescent="0.2">
      <c r="A229" s="44">
        <v>43344</v>
      </c>
      <c r="B229" s="1">
        <v>2.849709973</v>
      </c>
      <c r="C229" s="1">
        <v>3</v>
      </c>
      <c r="D229" s="1">
        <v>2.9629310339999999</v>
      </c>
      <c r="E229" s="18">
        <f t="shared" si="15"/>
        <v>2.607997583</v>
      </c>
      <c r="F229" s="18">
        <f>AVERAGE($B$4:B227)</f>
        <v>3.1923433258940763</v>
      </c>
      <c r="G229" s="18">
        <f t="shared" si="16"/>
        <v>3.4639856917799996</v>
      </c>
      <c r="H229" s="19">
        <v>3</v>
      </c>
      <c r="I229" s="30">
        <f t="shared" si="17"/>
        <v>-0.15029002700000005</v>
      </c>
      <c r="J229" s="30">
        <f t="shared" si="18"/>
        <v>-0.11322106099999996</v>
      </c>
      <c r="K229" s="30">
        <f t="shared" si="11"/>
        <v>0.24171239</v>
      </c>
      <c r="L229" s="30">
        <f t="shared" si="12"/>
        <v>-0.34263335289407637</v>
      </c>
      <c r="M229" s="30">
        <f t="shared" si="13"/>
        <v>-0.61427571877999965</v>
      </c>
      <c r="N229" s="30">
        <f t="shared" si="14"/>
        <v>-0.15029002700000005</v>
      </c>
      <c r="O229" s="28">
        <f t="shared" si="10"/>
        <v>2.2587092215660742E-2</v>
      </c>
      <c r="P229" s="28">
        <f t="shared" si="10"/>
        <v>1.2819008653965711E-2</v>
      </c>
      <c r="Q229" s="28">
        <f t="shared" si="10"/>
        <v>5.8424879479512103E-2</v>
      </c>
      <c r="R229" s="28">
        <f t="shared" si="10"/>
        <v>0.11739761451543668</v>
      </c>
      <c r="S229" s="28">
        <f t="shared" si="10"/>
        <v>0.37733465868268523</v>
      </c>
      <c r="T229" s="28">
        <f t="shared" si="10"/>
        <v>2.2587092215660742E-2</v>
      </c>
    </row>
    <row r="230" spans="1:20" x14ac:dyDescent="0.2">
      <c r="A230" s="44">
        <v>43374</v>
      </c>
      <c r="B230" s="1">
        <v>2.6547214280000002</v>
      </c>
      <c r="C230" s="1">
        <v>3</v>
      </c>
      <c r="D230" s="1">
        <v>3.0188679249999999</v>
      </c>
      <c r="E230" s="18">
        <f t="shared" si="15"/>
        <v>2.4875616250000001</v>
      </c>
      <c r="F230" s="18">
        <f>AVERAGE($B$4:B228)</f>
        <v>3.1892109627789917</v>
      </c>
      <c r="G230" s="18">
        <f t="shared" si="16"/>
        <v>3.4274403873399995</v>
      </c>
      <c r="H230" s="19">
        <v>3</v>
      </c>
      <c r="I230" s="30">
        <f t="shared" si="17"/>
        <v>-0.34527857199999978</v>
      </c>
      <c r="J230" s="30">
        <f t="shared" si="18"/>
        <v>-0.36414649699999968</v>
      </c>
      <c r="K230" s="30">
        <f t="shared" si="11"/>
        <v>0.16715980300000011</v>
      </c>
      <c r="L230" s="30">
        <f t="shared" si="12"/>
        <v>-0.53448953477899153</v>
      </c>
      <c r="M230" s="30">
        <f t="shared" si="13"/>
        <v>-0.77271895933999923</v>
      </c>
      <c r="N230" s="30">
        <f t="shared" si="14"/>
        <v>-0.34527857199999978</v>
      </c>
      <c r="O230" s="28">
        <f t="shared" si="10"/>
        <v>0.11921729228235904</v>
      </c>
      <c r="P230" s="28">
        <f t="shared" si="10"/>
        <v>0.13260267127737077</v>
      </c>
      <c r="Q230" s="28">
        <f t="shared" si="10"/>
        <v>2.7942399738998844E-2</v>
      </c>
      <c r="R230" s="28">
        <f t="shared" si="10"/>
        <v>0.28567906278826277</v>
      </c>
      <c r="S230" s="28">
        <f t="shared" si="10"/>
        <v>0.59709459012349142</v>
      </c>
      <c r="T230" s="28">
        <f t="shared" si="10"/>
        <v>0.11921729228235904</v>
      </c>
    </row>
    <row r="231" spans="1:20" x14ac:dyDescent="0.2">
      <c r="A231" s="44">
        <v>43405</v>
      </c>
      <c r="B231" s="1">
        <v>2.4814633019999999</v>
      </c>
      <c r="C231" s="1">
        <v>3</v>
      </c>
      <c r="D231" s="1">
        <v>3.060869565</v>
      </c>
      <c r="E231" s="18">
        <f t="shared" si="15"/>
        <v>2.849709973</v>
      </c>
      <c r="F231" s="18">
        <f>AVERAGE($B$4:B229)</f>
        <v>3.1877087460100584</v>
      </c>
      <c r="G231" s="18">
        <f t="shared" si="16"/>
        <v>3.3944165869599994</v>
      </c>
      <c r="H231" s="19">
        <v>3</v>
      </c>
      <c r="I231" s="30">
        <f t="shared" si="17"/>
        <v>-0.51853669800000013</v>
      </c>
      <c r="J231" s="30">
        <f t="shared" si="18"/>
        <v>-0.57940626300000009</v>
      </c>
      <c r="K231" s="30">
        <f t="shared" si="11"/>
        <v>-0.36824667100000008</v>
      </c>
      <c r="L231" s="30">
        <f t="shared" si="12"/>
        <v>-0.70624544401005851</v>
      </c>
      <c r="M231" s="30">
        <f t="shared" si="13"/>
        <v>-0.9129532849599995</v>
      </c>
      <c r="N231" s="30">
        <f t="shared" si="14"/>
        <v>-0.51853669800000013</v>
      </c>
      <c r="O231" s="28">
        <f t="shared" si="10"/>
        <v>0.26888030717274336</v>
      </c>
      <c r="P231" s="28">
        <f t="shared" si="10"/>
        <v>0.33571161760362528</v>
      </c>
      <c r="Q231" s="28">
        <f t="shared" si="10"/>
        <v>0.13560561070258231</v>
      </c>
      <c r="R231" s="28">
        <f t="shared" si="10"/>
        <v>0.49878262718496469</v>
      </c>
      <c r="S231" s="28">
        <f t="shared" si="10"/>
        <v>0.83348370051925402</v>
      </c>
      <c r="T231" s="28">
        <f t="shared" si="10"/>
        <v>0.26888030717274336</v>
      </c>
    </row>
    <row r="232" spans="1:20" x14ac:dyDescent="0.2">
      <c r="A232" s="44">
        <v>43435</v>
      </c>
      <c r="B232" s="1">
        <v>2.1409865799999999</v>
      </c>
      <c r="C232" s="1">
        <v>3</v>
      </c>
      <c r="D232" s="1">
        <v>3.0336448599999999</v>
      </c>
      <c r="E232" s="18">
        <f t="shared" si="15"/>
        <v>2.6547214280000002</v>
      </c>
      <c r="F232" s="18">
        <f>AVERAGE($B$4:B230)</f>
        <v>3.18536078425671</v>
      </c>
      <c r="G232" s="18">
        <f t="shared" si="16"/>
        <v>3.3566548479199994</v>
      </c>
      <c r="H232" s="19">
        <v>3</v>
      </c>
      <c r="I232" s="30">
        <f t="shared" si="17"/>
        <v>-0.85901342000000014</v>
      </c>
      <c r="J232" s="30">
        <f t="shared" si="18"/>
        <v>-0.89265828000000003</v>
      </c>
      <c r="K232" s="30">
        <f t="shared" si="11"/>
        <v>-0.51373484800000035</v>
      </c>
      <c r="L232" s="30">
        <f t="shared" si="12"/>
        <v>-1.0443742042567101</v>
      </c>
      <c r="M232" s="30">
        <f t="shared" si="13"/>
        <v>-1.2156682679199995</v>
      </c>
      <c r="N232" s="30">
        <f t="shared" si="14"/>
        <v>-0.85901342000000014</v>
      </c>
      <c r="O232" s="28">
        <f t="shared" si="10"/>
        <v>0.73790405574009665</v>
      </c>
      <c r="P232" s="28">
        <f t="shared" si="10"/>
        <v>0.79683880485255842</v>
      </c>
      <c r="Q232" s="28">
        <f t="shared" si="10"/>
        <v>0.26392349404958348</v>
      </c>
      <c r="R232" s="28">
        <f t="shared" si="10"/>
        <v>1.0907174785168365</v>
      </c>
      <c r="S232" s="28">
        <f t="shared" si="10"/>
        <v>1.4778493376276116</v>
      </c>
      <c r="T232" s="28">
        <f t="shared" si="10"/>
        <v>0.73790405574009665</v>
      </c>
    </row>
    <row r="233" spans="1:20" x14ac:dyDescent="0.2">
      <c r="A233" s="44">
        <v>43466</v>
      </c>
      <c r="B233" s="1">
        <v>1.785591462</v>
      </c>
      <c r="C233" s="1">
        <v>2.9</v>
      </c>
      <c r="D233" s="1">
        <v>2.9756521739999999</v>
      </c>
      <c r="E233" s="18">
        <f t="shared" si="15"/>
        <v>2.4814633019999999</v>
      </c>
      <c r="F233" s="18">
        <f>AVERAGE($B$4:B231)</f>
        <v>3.1822735145976893</v>
      </c>
      <c r="G233" s="18">
        <f t="shared" si="16"/>
        <v>3.3081726093999992</v>
      </c>
      <c r="H233" s="19">
        <v>3</v>
      </c>
      <c r="I233" s="30">
        <f t="shared" si="17"/>
        <v>-1.1144085379999999</v>
      </c>
      <c r="J233" s="30">
        <f t="shared" si="18"/>
        <v>-1.190060712</v>
      </c>
      <c r="K233" s="30">
        <f t="shared" si="11"/>
        <v>-0.69587183999999991</v>
      </c>
      <c r="L233" s="30">
        <f t="shared" si="12"/>
        <v>-1.3966820525976893</v>
      </c>
      <c r="M233" s="30">
        <f t="shared" si="13"/>
        <v>-1.5225811473999993</v>
      </c>
      <c r="N233" s="30">
        <f t="shared" si="14"/>
        <v>-1.214408538</v>
      </c>
      <c r="O233" s="28">
        <f t="shared" si="10"/>
        <v>1.2419063895672973</v>
      </c>
      <c r="P233" s="28">
        <f t="shared" si="10"/>
        <v>1.4162444982459468</v>
      </c>
      <c r="Q233" s="28">
        <f t="shared" si="10"/>
        <v>0.48423761770498547</v>
      </c>
      <c r="R233" s="28">
        <f t="shared" si="10"/>
        <v>1.9507207560484945</v>
      </c>
      <c r="S233" s="28">
        <f t="shared" si="10"/>
        <v>2.3182533504178982</v>
      </c>
      <c r="T233" s="28">
        <f t="shared" si="10"/>
        <v>1.4747880971672975</v>
      </c>
    </row>
    <row r="234" spans="1:20" x14ac:dyDescent="0.2">
      <c r="A234" s="44">
        <v>43497</v>
      </c>
      <c r="B234" s="1">
        <v>1.727118956</v>
      </c>
      <c r="C234" s="1">
        <v>2.8</v>
      </c>
      <c r="D234" s="1">
        <v>2.9615044250000002</v>
      </c>
      <c r="E234" s="18">
        <f t="shared" si="15"/>
        <v>2.1409865799999999</v>
      </c>
      <c r="F234" s="18">
        <f>AVERAGE($B$4:B232)</f>
        <v>3.1777264100797953</v>
      </c>
      <c r="G234" s="18">
        <f t="shared" si="16"/>
        <v>3.2373269689399997</v>
      </c>
      <c r="H234" s="19">
        <v>3</v>
      </c>
      <c r="I234" s="30">
        <f t="shared" si="17"/>
        <v>-1.0728810439999998</v>
      </c>
      <c r="J234" s="30">
        <f t="shared" si="18"/>
        <v>-1.2343854690000002</v>
      </c>
      <c r="K234" s="30">
        <f t="shared" si="11"/>
        <v>-0.41386762399999988</v>
      </c>
      <c r="L234" s="30">
        <f t="shared" si="12"/>
        <v>-1.4506074540797953</v>
      </c>
      <c r="M234" s="30">
        <f t="shared" si="13"/>
        <v>-1.5102080129399997</v>
      </c>
      <c r="N234" s="30">
        <f t="shared" si="14"/>
        <v>-1.272881044</v>
      </c>
      <c r="O234" s="28">
        <f t="shared" si="10"/>
        <v>1.1510737345745297</v>
      </c>
      <c r="P234" s="28">
        <f t="shared" si="10"/>
        <v>1.5237074860783506</v>
      </c>
      <c r="Q234" s="28">
        <f t="shared" si="10"/>
        <v>0.17128641019540528</v>
      </c>
      <c r="R234" s="28">
        <f t="shared" si="10"/>
        <v>2.1042619858318656</v>
      </c>
      <c r="S234" s="28">
        <f t="shared" si="10"/>
        <v>2.2807282423481823</v>
      </c>
      <c r="T234" s="28">
        <f t="shared" si="10"/>
        <v>1.62022615217453</v>
      </c>
    </row>
    <row r="235" spans="1:20" x14ac:dyDescent="0.2">
      <c r="A235" s="44">
        <v>43525</v>
      </c>
      <c r="B235" s="1">
        <v>2.0045923380000001</v>
      </c>
      <c r="C235" s="1">
        <v>2.8</v>
      </c>
      <c r="D235" s="1">
        <v>2.8785123970000002</v>
      </c>
      <c r="E235" s="18">
        <f t="shared" si="15"/>
        <v>1.785591462</v>
      </c>
      <c r="F235" s="18">
        <f>AVERAGE($B$4:B233)</f>
        <v>3.1716736494359701</v>
      </c>
      <c r="G235" s="18">
        <f t="shared" si="16"/>
        <v>3.1640006949600004</v>
      </c>
      <c r="H235" s="19">
        <v>3</v>
      </c>
      <c r="I235" s="30">
        <f t="shared" si="17"/>
        <v>-0.79540766199999968</v>
      </c>
      <c r="J235" s="30">
        <f t="shared" si="18"/>
        <v>-0.87392005900000003</v>
      </c>
      <c r="K235" s="30">
        <f t="shared" si="11"/>
        <v>0.21900087600000018</v>
      </c>
      <c r="L235" s="30">
        <f t="shared" si="12"/>
        <v>-1.1670813114359699</v>
      </c>
      <c r="M235" s="30">
        <f t="shared" si="13"/>
        <v>-1.1594083569600002</v>
      </c>
      <c r="N235" s="30">
        <f t="shared" si="14"/>
        <v>-0.99540766199999986</v>
      </c>
      <c r="O235" s="28">
        <f t="shared" si="10"/>
        <v>0.63267334876830572</v>
      </c>
      <c r="P235" s="28">
        <f t="shared" si="10"/>
        <v>0.76373626952256357</v>
      </c>
      <c r="Q235" s="28">
        <f t="shared" si="10"/>
        <v>4.7961383688767456E-2</v>
      </c>
      <c r="R235" s="28">
        <f t="shared" si="10"/>
        <v>1.3620787875031035</v>
      </c>
      <c r="S235" s="28">
        <f t="shared" si="10"/>
        <v>1.3442277381886873</v>
      </c>
      <c r="T235" s="28">
        <f t="shared" si="10"/>
        <v>0.99083641356830598</v>
      </c>
    </row>
    <row r="236" spans="1:20" x14ac:dyDescent="0.2">
      <c r="A236" s="44">
        <v>43556</v>
      </c>
      <c r="B236" s="1">
        <v>1.9974903420000001</v>
      </c>
      <c r="C236" s="1">
        <v>2.8</v>
      </c>
      <c r="D236" s="1">
        <v>2.8305084749999998</v>
      </c>
      <c r="E236" s="18">
        <f t="shared" si="15"/>
        <v>1.727118956</v>
      </c>
      <c r="F236" s="18">
        <f>AVERAGE($B$4:B234)</f>
        <v>3.1654201659146022</v>
      </c>
      <c r="G236" s="18">
        <f t="shared" si="16"/>
        <v>3.1056154533200004</v>
      </c>
      <c r="H236" s="19">
        <v>3</v>
      </c>
      <c r="I236" s="30">
        <f t="shared" si="17"/>
        <v>-0.80250965799999974</v>
      </c>
      <c r="J236" s="30">
        <f t="shared" si="18"/>
        <v>-0.83301813299999972</v>
      </c>
      <c r="K236" s="30">
        <f t="shared" si="11"/>
        <v>0.2703713860000001</v>
      </c>
      <c r="L236" s="30">
        <f t="shared" si="12"/>
        <v>-1.1679298239146021</v>
      </c>
      <c r="M236" s="30">
        <f t="shared" si="13"/>
        <v>-1.1081251113200004</v>
      </c>
      <c r="N236" s="30">
        <f t="shared" si="14"/>
        <v>-1.0025096579999999</v>
      </c>
      <c r="O236" s="28">
        <f t="shared" si="10"/>
        <v>0.64402175118327654</v>
      </c>
      <c r="P236" s="28">
        <f t="shared" si="10"/>
        <v>0.69391920990680522</v>
      </c>
      <c r="Q236" s="28">
        <f t="shared" si="10"/>
        <v>7.3100686367561049E-2</v>
      </c>
      <c r="R236" s="28">
        <f t="shared" si="10"/>
        <v>1.3640600735891935</v>
      </c>
      <c r="S236" s="28">
        <f t="shared" si="10"/>
        <v>1.2279412623379631</v>
      </c>
      <c r="T236" s="28">
        <f t="shared" si="10"/>
        <v>1.0050256143832768</v>
      </c>
    </row>
    <row r="237" spans="1:20" x14ac:dyDescent="0.2">
      <c r="A237" s="44">
        <v>43586</v>
      </c>
      <c r="B237" s="1">
        <v>2.3494044989999998</v>
      </c>
      <c r="C237" s="1">
        <v>2.8</v>
      </c>
      <c r="D237" s="1">
        <v>2.8224999999999998</v>
      </c>
      <c r="E237" s="18">
        <f t="shared" si="15"/>
        <v>2.0045923380000001</v>
      </c>
      <c r="F237" s="18">
        <f>AVERAGE($B$4:B235)</f>
        <v>3.1604165976908321</v>
      </c>
      <c r="G237" s="18">
        <f t="shared" si="16"/>
        <v>3.0549017850000006</v>
      </c>
      <c r="H237" s="19">
        <v>3</v>
      </c>
      <c r="I237" s="30">
        <f t="shared" si="17"/>
        <v>-0.45059550100000001</v>
      </c>
      <c r="J237" s="30">
        <f t="shared" si="18"/>
        <v>-0.47309550099999997</v>
      </c>
      <c r="K237" s="30">
        <f t="shared" si="11"/>
        <v>0.34481216099999967</v>
      </c>
      <c r="L237" s="30">
        <f t="shared" si="12"/>
        <v>-0.81101209869083224</v>
      </c>
      <c r="M237" s="30">
        <f t="shared" si="13"/>
        <v>-0.70549728600000083</v>
      </c>
      <c r="N237" s="30">
        <f t="shared" si="14"/>
        <v>-0.65059550100000019</v>
      </c>
      <c r="O237" s="28">
        <f t="shared" si="10"/>
        <v>0.203036305521441</v>
      </c>
      <c r="P237" s="28">
        <f t="shared" si="10"/>
        <v>0.22381935306644096</v>
      </c>
      <c r="Q237" s="28">
        <f t="shared" si="10"/>
        <v>0.1188954263734897</v>
      </c>
      <c r="R237" s="28">
        <f t="shared" si="10"/>
        <v>0.65774062422290824</v>
      </c>
      <c r="S237" s="28">
        <f t="shared" si="10"/>
        <v>0.49772642055336697</v>
      </c>
      <c r="T237" s="28">
        <f t="shared" si="10"/>
        <v>0.42327450592144122</v>
      </c>
    </row>
    <row r="238" spans="1:20" x14ac:dyDescent="0.2">
      <c r="A238" s="44">
        <v>43617</v>
      </c>
      <c r="B238" s="1">
        <v>2.3052039450000001</v>
      </c>
      <c r="C238" s="1">
        <v>2.9</v>
      </c>
      <c r="D238" s="1">
        <v>2.8401574799999998</v>
      </c>
      <c r="E238" s="18">
        <f t="shared" si="15"/>
        <v>1.9974903420000001</v>
      </c>
      <c r="F238" s="18">
        <f>AVERAGE($B$4:B236)</f>
        <v>3.1554254978810001</v>
      </c>
      <c r="G238" s="18">
        <f t="shared" si="16"/>
        <v>3.0068531166800003</v>
      </c>
      <c r="H238" s="19">
        <v>3</v>
      </c>
      <c r="I238" s="30">
        <f t="shared" si="17"/>
        <v>-0.59479605499999977</v>
      </c>
      <c r="J238" s="30">
        <f t="shared" si="18"/>
        <v>-0.53495353499999965</v>
      </c>
      <c r="K238" s="30">
        <f t="shared" si="11"/>
        <v>0.30771360300000006</v>
      </c>
      <c r="L238" s="30">
        <f t="shared" si="12"/>
        <v>-0.85022155288099999</v>
      </c>
      <c r="M238" s="30">
        <f t="shared" si="13"/>
        <v>-0.70164917168000018</v>
      </c>
      <c r="N238" s="30">
        <f t="shared" si="14"/>
        <v>-0.69479605499999986</v>
      </c>
      <c r="O238" s="28">
        <f t="shared" si="10"/>
        <v>0.35378234704356276</v>
      </c>
      <c r="P238" s="28">
        <f t="shared" si="10"/>
        <v>0.28617528460899583</v>
      </c>
      <c r="Q238" s="28">
        <f t="shared" si="10"/>
        <v>9.4687661471241649E-2</v>
      </c>
      <c r="R238" s="28">
        <f t="shared" si="10"/>
        <v>0.72287668898337909</v>
      </c>
      <c r="S238" s="28">
        <f t="shared" si="10"/>
        <v>0.49231156011923038</v>
      </c>
      <c r="T238" s="28">
        <f t="shared" si="10"/>
        <v>0.48274155804356284</v>
      </c>
    </row>
    <row r="239" spans="1:20" x14ac:dyDescent="0.2">
      <c r="A239" s="44">
        <v>43647</v>
      </c>
      <c r="B239" s="1">
        <v>2.2017733210000001</v>
      </c>
      <c r="C239" s="1">
        <v>2.9</v>
      </c>
      <c r="D239" s="1">
        <v>2.8920634920000001</v>
      </c>
      <c r="E239" s="18">
        <f t="shared" si="15"/>
        <v>2.3494044989999998</v>
      </c>
      <c r="F239" s="18">
        <f>AVERAGE($B$4:B237)</f>
        <v>3.1519809636977483</v>
      </c>
      <c r="G239" s="18">
        <f t="shared" si="16"/>
        <v>2.97016030682</v>
      </c>
      <c r="H239" s="19">
        <v>3</v>
      </c>
      <c r="I239" s="30">
        <f t="shared" si="17"/>
        <v>-0.69822667899999979</v>
      </c>
      <c r="J239" s="30">
        <f t="shared" si="18"/>
        <v>-0.69029017100000001</v>
      </c>
      <c r="K239" s="30">
        <f t="shared" si="11"/>
        <v>-0.1476311779999997</v>
      </c>
      <c r="L239" s="30">
        <f t="shared" si="12"/>
        <v>-0.95020764269774816</v>
      </c>
      <c r="M239" s="30">
        <f t="shared" si="13"/>
        <v>-0.76838698581999987</v>
      </c>
      <c r="N239" s="30">
        <f t="shared" si="14"/>
        <v>-0.79822667899999988</v>
      </c>
      <c r="O239" s="28">
        <f t="shared" si="10"/>
        <v>0.48752049526736874</v>
      </c>
      <c r="P239" s="28">
        <f t="shared" si="10"/>
        <v>0.47650052017920924</v>
      </c>
      <c r="Q239" s="28">
        <f t="shared" si="10"/>
        <v>2.1794964717667595E-2</v>
      </c>
      <c r="R239" s="28">
        <f t="shared" si="10"/>
        <v>0.90289456424121139</v>
      </c>
      <c r="S239" s="28">
        <f t="shared" si="10"/>
        <v>0.59041855997754467</v>
      </c>
      <c r="T239" s="28">
        <f t="shared" si="10"/>
        <v>0.6371658310673689</v>
      </c>
    </row>
    <row r="240" spans="1:20" x14ac:dyDescent="0.2">
      <c r="A240" s="44">
        <v>43678</v>
      </c>
      <c r="B240" s="1">
        <v>2.3066356579999998</v>
      </c>
      <c r="C240" s="1">
        <v>2.8</v>
      </c>
      <c r="D240" s="1">
        <v>2.8414634150000002</v>
      </c>
      <c r="E240" s="18">
        <f t="shared" si="15"/>
        <v>2.3052039450000001</v>
      </c>
      <c r="F240" s="18">
        <f>AVERAGE($B$4:B238)</f>
        <v>3.1483776572352045</v>
      </c>
      <c r="G240" s="18">
        <f t="shared" si="16"/>
        <v>2.9335386085200001</v>
      </c>
      <c r="H240" s="19">
        <v>3</v>
      </c>
      <c r="I240" s="30">
        <f t="shared" si="17"/>
        <v>-0.49336434200000001</v>
      </c>
      <c r="J240" s="30">
        <f t="shared" si="18"/>
        <v>-0.5348277570000004</v>
      </c>
      <c r="K240" s="30">
        <f t="shared" si="11"/>
        <v>1.4317129999996681E-3</v>
      </c>
      <c r="L240" s="30">
        <f t="shared" si="12"/>
        <v>-0.84174199923520465</v>
      </c>
      <c r="M240" s="30">
        <f t="shared" si="13"/>
        <v>-0.62690295052000033</v>
      </c>
      <c r="N240" s="30">
        <f t="shared" si="14"/>
        <v>-0.69336434200000019</v>
      </c>
      <c r="O240" s="28">
        <f t="shared" si="10"/>
        <v>0.24340837395709297</v>
      </c>
      <c r="P240" s="28">
        <f t="shared" si="10"/>
        <v>0.28604072965765148</v>
      </c>
      <c r="Q240" s="28">
        <f t="shared" si="10"/>
        <v>2.0498021143680495E-6</v>
      </c>
      <c r="R240" s="28">
        <f t="shared" si="10"/>
        <v>0.70852959327647924</v>
      </c>
      <c r="S240" s="28">
        <f t="shared" si="10"/>
        <v>0.39300730937068201</v>
      </c>
      <c r="T240" s="28">
        <f t="shared" si="10"/>
        <v>0.48075411075709323</v>
      </c>
    </row>
    <row r="241" spans="1:20" x14ac:dyDescent="0.2">
      <c r="A241" s="44">
        <v>43709</v>
      </c>
      <c r="B241" s="1">
        <v>2.113110593</v>
      </c>
      <c r="C241" s="1">
        <v>2.8</v>
      </c>
      <c r="D241" s="1">
        <v>2.8008000000000002</v>
      </c>
      <c r="E241" s="18">
        <f t="shared" si="15"/>
        <v>2.2017733210000001</v>
      </c>
      <c r="F241" s="18">
        <f>AVERAGE($B$4:B239)</f>
        <v>3.144366621912174</v>
      </c>
      <c r="G241" s="18">
        <f t="shared" si="16"/>
        <v>2.8981893713799995</v>
      </c>
      <c r="H241" s="19">
        <v>3</v>
      </c>
      <c r="I241" s="30">
        <f t="shared" si="17"/>
        <v>-0.68688940699999979</v>
      </c>
      <c r="J241" s="30">
        <f t="shared" si="18"/>
        <v>-0.68768940700000014</v>
      </c>
      <c r="K241" s="30">
        <f t="shared" si="11"/>
        <v>-8.8662728000000079E-2</v>
      </c>
      <c r="L241" s="30">
        <f t="shared" si="12"/>
        <v>-1.0312560289121739</v>
      </c>
      <c r="M241" s="30">
        <f t="shared" si="13"/>
        <v>-0.78507877837999951</v>
      </c>
      <c r="N241" s="30">
        <f t="shared" si="14"/>
        <v>-0.88688940699999996</v>
      </c>
      <c r="O241" s="28">
        <f t="shared" si="10"/>
        <v>0.47181705744881136</v>
      </c>
      <c r="P241" s="28">
        <f t="shared" si="10"/>
        <v>0.47291672050001182</v>
      </c>
      <c r="Q241" s="28">
        <f t="shared" si="10"/>
        <v>7.8610793364019983E-3</v>
      </c>
      <c r="R241" s="28">
        <f t="shared" si="10"/>
        <v>1.0634889971677066</v>
      </c>
      <c r="S241" s="28">
        <f t="shared" si="10"/>
        <v>0.61634868826263234</v>
      </c>
      <c r="T241" s="28">
        <f t="shared" si="10"/>
        <v>0.78657282024881159</v>
      </c>
    </row>
    <row r="242" spans="1:20" x14ac:dyDescent="0.2">
      <c r="A242" s="44">
        <v>43739</v>
      </c>
      <c r="B242" s="1">
        <v>2.5353523390000001</v>
      </c>
      <c r="C242" s="1">
        <v>2.8</v>
      </c>
      <c r="D242" s="1">
        <v>2.8180180180000001</v>
      </c>
      <c r="E242" s="18">
        <f t="shared" si="15"/>
        <v>2.3066356579999998</v>
      </c>
      <c r="F242" s="18">
        <f>AVERAGE($B$4:B240)</f>
        <v>3.1408318921066374</v>
      </c>
      <c r="G242" s="18">
        <f t="shared" si="16"/>
        <v>2.8559442271000002</v>
      </c>
      <c r="H242" s="19">
        <v>3</v>
      </c>
      <c r="I242" s="30">
        <f t="shared" si="17"/>
        <v>-0.2646476609999997</v>
      </c>
      <c r="J242" s="30">
        <f t="shared" si="18"/>
        <v>-0.28266567899999995</v>
      </c>
      <c r="K242" s="30">
        <f t="shared" si="11"/>
        <v>0.22871668100000031</v>
      </c>
      <c r="L242" s="30">
        <f t="shared" si="12"/>
        <v>-0.60547955310663726</v>
      </c>
      <c r="M242" s="30">
        <f t="shared" si="13"/>
        <v>-0.32059188810000006</v>
      </c>
      <c r="N242" s="30">
        <f t="shared" si="14"/>
        <v>-0.46464766099999988</v>
      </c>
      <c r="O242" s="28">
        <f t="shared" si="10"/>
        <v>7.0038384472770762E-2</v>
      </c>
      <c r="P242" s="28">
        <f t="shared" si="10"/>
        <v>7.989988608453101E-2</v>
      </c>
      <c r="Q242" s="28">
        <f t="shared" si="10"/>
        <v>5.2311320167655904E-2</v>
      </c>
      <c r="R242" s="28">
        <f t="shared" si="10"/>
        <v>0.36660548923021319</v>
      </c>
      <c r="S242" s="28">
        <f t="shared" si="10"/>
        <v>0.10277915871552296</v>
      </c>
      <c r="T242" s="28">
        <f t="shared" si="10"/>
        <v>0.21589744887277082</v>
      </c>
    </row>
    <row r="243" spans="1:20" x14ac:dyDescent="0.2">
      <c r="A243" s="44">
        <v>43770</v>
      </c>
      <c r="B243" s="1">
        <v>2.7079331209999999</v>
      </c>
      <c r="C243" s="1">
        <v>2.9</v>
      </c>
      <c r="D243" s="1">
        <v>2.8410256409999999</v>
      </c>
      <c r="E243" s="18">
        <f t="shared" si="15"/>
        <v>2.113110593</v>
      </c>
      <c r="F243" s="18">
        <f>AVERAGE($B$4:B241)</f>
        <v>3.1365137353877022</v>
      </c>
      <c r="G243" s="18">
        <f t="shared" si="16"/>
        <v>2.8058590986199987</v>
      </c>
      <c r="H243" s="19">
        <v>3</v>
      </c>
      <c r="I243" s="30">
        <f t="shared" si="17"/>
        <v>-0.19206687899999997</v>
      </c>
      <c r="J243" s="30">
        <f t="shared" si="18"/>
        <v>-0.13309251999999994</v>
      </c>
      <c r="K243" s="30">
        <f t="shared" si="11"/>
        <v>0.59482252799999991</v>
      </c>
      <c r="L243" s="30">
        <f t="shared" si="12"/>
        <v>-0.42858061438770223</v>
      </c>
      <c r="M243" s="30">
        <f t="shared" si="13"/>
        <v>-9.7925977619998772E-2</v>
      </c>
      <c r="N243" s="30">
        <f t="shared" si="14"/>
        <v>-0.29206687900000006</v>
      </c>
      <c r="O243" s="28">
        <f t="shared" si="10"/>
        <v>3.6889686008800632E-2</v>
      </c>
      <c r="P243" s="28">
        <f t="shared" si="10"/>
        <v>1.7713618879950384E-2</v>
      </c>
      <c r="Q243" s="28">
        <f t="shared" si="10"/>
        <v>0.35381383981631065</v>
      </c>
      <c r="R243" s="28">
        <f t="shared" si="10"/>
        <v>0.18368134302894032</v>
      </c>
      <c r="S243" s="28">
        <f t="shared" si="10"/>
        <v>9.589497092832501E-3</v>
      </c>
      <c r="T243" s="28">
        <f t="shared" si="10"/>
        <v>8.5303061808800679E-2</v>
      </c>
    </row>
    <row r="244" spans="1:20" x14ac:dyDescent="0.2">
      <c r="A244" s="44">
        <v>43800</v>
      </c>
      <c r="B244" s="1">
        <v>3.0004802110000002</v>
      </c>
      <c r="C244" s="1">
        <v>2.7</v>
      </c>
      <c r="D244" s="1">
        <v>3.100869565</v>
      </c>
      <c r="E244" s="18">
        <f t="shared" si="15"/>
        <v>2.5353523390000001</v>
      </c>
      <c r="F244" s="18">
        <f>AVERAGE($B$4:B242)</f>
        <v>3.1339984157375445</v>
      </c>
      <c r="G244" s="18">
        <f t="shared" si="16"/>
        <v>2.7568990646999998</v>
      </c>
      <c r="H244" s="19">
        <v>3</v>
      </c>
      <c r="I244" s="30">
        <f t="shared" si="17"/>
        <v>0.300480211</v>
      </c>
      <c r="J244" s="30">
        <f t="shared" si="18"/>
        <v>-0.10038935399999982</v>
      </c>
      <c r="K244" s="30">
        <f t="shared" si="11"/>
        <v>0.46512787200000005</v>
      </c>
      <c r="L244" s="30">
        <f t="shared" si="12"/>
        <v>-0.13351820473754428</v>
      </c>
      <c r="M244" s="30">
        <f t="shared" si="13"/>
        <v>0.24358114630000038</v>
      </c>
      <c r="N244" s="30">
        <f t="shared" si="14"/>
        <v>4.8021100000017469E-4</v>
      </c>
      <c r="O244" s="28">
        <f t="shared" si="10"/>
        <v>9.0288357202604516E-2</v>
      </c>
      <c r="P244" s="28">
        <f t="shared" si="10"/>
        <v>1.0078022396537279E-2</v>
      </c>
      <c r="Q244" s="28">
        <f t="shared" si="10"/>
        <v>0.21634393731124843</v>
      </c>
      <c r="R244" s="28">
        <f t="shared" si="10"/>
        <v>1.7827110996336791E-2</v>
      </c>
      <c r="S244" s="28">
        <f t="shared" si="10"/>
        <v>5.933177483282219E-2</v>
      </c>
      <c r="T244" s="28">
        <f t="shared" si="10"/>
        <v>2.3060260452116779E-7</v>
      </c>
    </row>
    <row r="245" spans="1:20" x14ac:dyDescent="0.2">
      <c r="A245" s="44">
        <v>43831</v>
      </c>
      <c r="B245" s="1">
        <v>3.4688384550000002</v>
      </c>
      <c r="C245" s="1">
        <v>3.2</v>
      </c>
      <c r="D245" s="1">
        <v>3.774509804</v>
      </c>
      <c r="E245" s="18">
        <f t="shared" si="15"/>
        <v>2.7079331209999999</v>
      </c>
      <c r="F245" s="18">
        <f>AVERAGE($B$4:B243)</f>
        <v>3.1322231436761379</v>
      </c>
      <c r="G245" s="18">
        <f t="shared" si="16"/>
        <v>2.7181614427599992</v>
      </c>
      <c r="H245" s="19">
        <v>3</v>
      </c>
      <c r="I245" s="30">
        <f t="shared" si="17"/>
        <v>0.26883845500000003</v>
      </c>
      <c r="J245" s="30">
        <f t="shared" si="18"/>
        <v>-0.30567134899999981</v>
      </c>
      <c r="K245" s="30">
        <f t="shared" si="11"/>
        <v>0.76090533400000027</v>
      </c>
      <c r="L245" s="30">
        <f t="shared" si="12"/>
        <v>0.33661531132386235</v>
      </c>
      <c r="M245" s="30">
        <f t="shared" si="13"/>
        <v>0.75067701224000105</v>
      </c>
      <c r="N245" s="30">
        <f t="shared" si="14"/>
        <v>0.46883845500000021</v>
      </c>
      <c r="O245" s="28">
        <f t="shared" si="10"/>
        <v>7.2274114886787047E-2</v>
      </c>
      <c r="P245" s="28">
        <f t="shared" si="10"/>
        <v>9.3434973599479693E-2</v>
      </c>
      <c r="Q245" s="28">
        <f t="shared" si="10"/>
        <v>0.578976927309652</v>
      </c>
      <c r="R245" s="28">
        <f t="shared" si="10"/>
        <v>0.11330986781766078</v>
      </c>
      <c r="S245" s="28">
        <f t="shared" si="10"/>
        <v>0.56351597670557474</v>
      </c>
      <c r="T245" s="28">
        <f t="shared" si="10"/>
        <v>0.21980949688678722</v>
      </c>
    </row>
    <row r="246" spans="1:20" x14ac:dyDescent="0.2">
      <c r="A246" s="44">
        <v>43862</v>
      </c>
      <c r="B246" s="1">
        <v>3.8847629100000001</v>
      </c>
      <c r="C246" s="1">
        <v>3.2</v>
      </c>
      <c r="D246" s="1">
        <v>3.4569767439999999</v>
      </c>
      <c r="E246" s="18">
        <f t="shared" si="15"/>
        <v>3.0004802110000002</v>
      </c>
      <c r="F246" s="18">
        <f>AVERAGE($B$4:B244)</f>
        <v>3.1316764925032077</v>
      </c>
      <c r="G246" s="18">
        <f t="shared" si="16"/>
        <v>2.6983870209999998</v>
      </c>
      <c r="H246" s="19">
        <v>3</v>
      </c>
      <c r="I246" s="30">
        <f t="shared" si="17"/>
        <v>0.68476290999999989</v>
      </c>
      <c r="J246" s="30">
        <f t="shared" si="18"/>
        <v>0.42778616600000019</v>
      </c>
      <c r="K246" s="30">
        <f t="shared" si="11"/>
        <v>0.88428269899999989</v>
      </c>
      <c r="L246" s="30">
        <f t="shared" si="12"/>
        <v>0.75308641749679239</v>
      </c>
      <c r="M246" s="30">
        <f t="shared" si="13"/>
        <v>1.1863758890000002</v>
      </c>
      <c r="N246" s="30">
        <f t="shared" si="14"/>
        <v>0.88476291000000007</v>
      </c>
      <c r="O246" s="28">
        <f t="shared" si="10"/>
        <v>0.46890024291166793</v>
      </c>
      <c r="P246" s="28">
        <f t="shared" si="10"/>
        <v>0.18300100382097972</v>
      </c>
      <c r="Q246" s="28">
        <f t="shared" si="10"/>
        <v>0.78195589175072444</v>
      </c>
      <c r="R246" s="28">
        <f t="shared" ref="R246:T307" si="19">L246^2</f>
        <v>0.56713915221815314</v>
      </c>
      <c r="S246" s="28">
        <f t="shared" si="19"/>
        <v>1.4074877500005409</v>
      </c>
      <c r="T246" s="28">
        <f t="shared" si="19"/>
        <v>0.78280540691166822</v>
      </c>
    </row>
    <row r="247" spans="1:20" x14ac:dyDescent="0.2">
      <c r="A247" s="44">
        <v>43891</v>
      </c>
      <c r="B247" s="1">
        <v>3.7362014339999998</v>
      </c>
      <c r="C247" s="1">
        <v>3</v>
      </c>
      <c r="D247" s="1">
        <v>3.3862385320000001</v>
      </c>
      <c r="E247" s="18">
        <f t="shared" si="15"/>
        <v>3.4688384550000002</v>
      </c>
      <c r="F247" s="18">
        <f>AVERAGE($B$4:B245)</f>
        <v>3.1330697237531946</v>
      </c>
      <c r="G247" s="18">
        <f t="shared" si="16"/>
        <v>2.6890303857399998</v>
      </c>
      <c r="H247" s="19">
        <v>3</v>
      </c>
      <c r="I247" s="30">
        <f t="shared" si="17"/>
        <v>0.73620143399999982</v>
      </c>
      <c r="J247" s="30">
        <f t="shared" si="18"/>
        <v>0.34996290199999969</v>
      </c>
      <c r="K247" s="30">
        <f t="shared" si="11"/>
        <v>0.26736297899999961</v>
      </c>
      <c r="L247" s="30">
        <f t="shared" si="12"/>
        <v>0.60313171024680523</v>
      </c>
      <c r="M247" s="30">
        <f t="shared" si="13"/>
        <v>1.0471710482600001</v>
      </c>
      <c r="N247" s="30">
        <f t="shared" si="14"/>
        <v>0.73620143399999982</v>
      </c>
      <c r="O247" s="28">
        <f t="shared" ref="O247:Q307" si="20">I247^2</f>
        <v>0.5419925514236561</v>
      </c>
      <c r="P247" s="28">
        <f t="shared" si="20"/>
        <v>0.12247403277626139</v>
      </c>
      <c r="Q247" s="28">
        <f t="shared" si="20"/>
        <v>7.1482962539754238E-2</v>
      </c>
      <c r="R247" s="28">
        <f t="shared" si="19"/>
        <v>0.36376785990523625</v>
      </c>
      <c r="S247" s="28">
        <f t="shared" si="19"/>
        <v>1.0965672043139474</v>
      </c>
      <c r="T247" s="28">
        <f t="shared" si="19"/>
        <v>0.5419925514236561</v>
      </c>
    </row>
    <row r="248" spans="1:20" x14ac:dyDescent="0.2">
      <c r="A248" s="44">
        <v>43922</v>
      </c>
      <c r="B248" s="1">
        <v>3.4244720630000001</v>
      </c>
      <c r="C248" s="1">
        <v>3.2</v>
      </c>
      <c r="D248" s="1">
        <v>3.5122950820000001</v>
      </c>
      <c r="E248" s="18">
        <f t="shared" si="15"/>
        <v>3.8847629100000001</v>
      </c>
      <c r="F248" s="18">
        <f>AVERAGE($B$4:B246)</f>
        <v>3.1361631113509176</v>
      </c>
      <c r="G248" s="18">
        <f t="shared" si="16"/>
        <v>2.6791554013799996</v>
      </c>
      <c r="H248" s="19">
        <v>3</v>
      </c>
      <c r="I248" s="30">
        <f t="shared" si="17"/>
        <v>0.22447206299999989</v>
      </c>
      <c r="J248" s="30">
        <f t="shared" si="18"/>
        <v>-8.7823019000000002E-2</v>
      </c>
      <c r="K248" s="30">
        <f t="shared" si="11"/>
        <v>-0.460290847</v>
      </c>
      <c r="L248" s="30">
        <f t="shared" si="12"/>
        <v>0.28830895164908243</v>
      </c>
      <c r="M248" s="30">
        <f t="shared" si="13"/>
        <v>0.74531666162000043</v>
      </c>
      <c r="N248" s="30">
        <f t="shared" si="14"/>
        <v>0.42447206300000007</v>
      </c>
      <c r="O248" s="28">
        <f t="shared" si="20"/>
        <v>5.0387707067475918E-2</v>
      </c>
      <c r="P248" s="28">
        <f t="shared" si="20"/>
        <v>7.7128826662743611E-3</v>
      </c>
      <c r="Q248" s="28">
        <f t="shared" si="20"/>
        <v>0.21186766383197742</v>
      </c>
      <c r="R248" s="28">
        <f t="shared" si="19"/>
        <v>8.3122051600992952E-2</v>
      </c>
      <c r="S248" s="28">
        <f t="shared" si="19"/>
        <v>0.55549692608838219</v>
      </c>
      <c r="T248" s="28">
        <f t="shared" si="19"/>
        <v>0.18017653226747601</v>
      </c>
    </row>
    <row r="249" spans="1:20" x14ac:dyDescent="0.2">
      <c r="A249" s="44">
        <v>43952</v>
      </c>
      <c r="B249" s="1">
        <v>2.751963838</v>
      </c>
      <c r="C249" s="1">
        <v>2.9</v>
      </c>
      <c r="D249" s="1">
        <v>3.798305085</v>
      </c>
      <c r="E249" s="18">
        <f t="shared" si="15"/>
        <v>3.7362014339999998</v>
      </c>
      <c r="F249" s="18">
        <f>AVERAGE($B$4:B247)</f>
        <v>3.1386222848043976</v>
      </c>
      <c r="G249" s="18">
        <f t="shared" si="16"/>
        <v>2.6581062906599997</v>
      </c>
      <c r="H249" s="19">
        <v>3</v>
      </c>
      <c r="I249" s="30">
        <f t="shared" si="17"/>
        <v>-0.14803616199999992</v>
      </c>
      <c r="J249" s="30">
        <f t="shared" si="18"/>
        <v>-1.046341247</v>
      </c>
      <c r="K249" s="30">
        <f t="shared" si="11"/>
        <v>-0.98423759599999983</v>
      </c>
      <c r="L249" s="30">
        <f t="shared" si="12"/>
        <v>-0.38665844680439765</v>
      </c>
      <c r="M249" s="30">
        <f t="shared" si="13"/>
        <v>9.3857547340000291E-2</v>
      </c>
      <c r="N249" s="30">
        <f t="shared" si="14"/>
        <v>-0.248036162</v>
      </c>
      <c r="O249" s="28">
        <f t="shared" si="20"/>
        <v>2.191470525969022E-2</v>
      </c>
      <c r="P249" s="28">
        <f t="shared" si="20"/>
        <v>1.0948300051735149</v>
      </c>
      <c r="Q249" s="28">
        <f t="shared" si="20"/>
        <v>0.96872364537985889</v>
      </c>
      <c r="R249" s="28">
        <f t="shared" si="19"/>
        <v>0.14950475448518921</v>
      </c>
      <c r="S249" s="28">
        <f t="shared" si="19"/>
        <v>8.8092391926803959E-3</v>
      </c>
      <c r="T249" s="28">
        <f t="shared" si="19"/>
        <v>6.1521937659690246E-2</v>
      </c>
    </row>
    <row r="250" spans="1:20" x14ac:dyDescent="0.2">
      <c r="A250" s="44">
        <v>43983</v>
      </c>
      <c r="B250" s="1">
        <v>2.628031381</v>
      </c>
      <c r="C250" s="1">
        <v>2.5</v>
      </c>
      <c r="D250" s="1">
        <v>3.2964285709999999</v>
      </c>
      <c r="E250" s="18">
        <f t="shared" si="15"/>
        <v>3.4244720630000001</v>
      </c>
      <c r="F250" s="18">
        <f>AVERAGE($B$4:B248)</f>
        <v>3.1397890185929511</v>
      </c>
      <c r="G250" s="18">
        <f t="shared" si="16"/>
        <v>2.6323636241600004</v>
      </c>
      <c r="H250" s="19">
        <v>3</v>
      </c>
      <c r="I250" s="30">
        <f t="shared" si="17"/>
        <v>0.128031381</v>
      </c>
      <c r="J250" s="30">
        <f t="shared" si="18"/>
        <v>-0.66839718999999986</v>
      </c>
      <c r="K250" s="30">
        <f t="shared" si="11"/>
        <v>-0.79644068200000007</v>
      </c>
      <c r="L250" s="30">
        <f t="shared" si="12"/>
        <v>-0.51175763759295112</v>
      </c>
      <c r="M250" s="30">
        <f t="shared" si="13"/>
        <v>-4.3322431600003597E-3</v>
      </c>
      <c r="N250" s="30">
        <f t="shared" si="14"/>
        <v>-0.371968619</v>
      </c>
      <c r="O250" s="28">
        <f t="shared" si="20"/>
        <v>1.6392034520767162E-2</v>
      </c>
      <c r="P250" s="28">
        <f t="shared" si="20"/>
        <v>0.44675480359989594</v>
      </c>
      <c r="Q250" s="28">
        <f t="shared" si="20"/>
        <v>0.63431775994462525</v>
      </c>
      <c r="R250" s="28">
        <f t="shared" si="19"/>
        <v>0.26189587963471828</v>
      </c>
      <c r="S250" s="28">
        <f t="shared" si="19"/>
        <v>1.8768330797369901E-5</v>
      </c>
      <c r="T250" s="28">
        <f t="shared" si="19"/>
        <v>0.13836065352076715</v>
      </c>
    </row>
    <row r="251" spans="1:20" x14ac:dyDescent="0.2">
      <c r="A251" s="44">
        <v>44013</v>
      </c>
      <c r="B251" s="1">
        <v>2.5018113679999998</v>
      </c>
      <c r="C251" s="1">
        <v>2.5</v>
      </c>
      <c r="D251" s="1">
        <v>3.2269230769999999</v>
      </c>
      <c r="E251" s="18">
        <f t="shared" si="15"/>
        <v>2.751963838</v>
      </c>
      <c r="F251" s="18">
        <f>AVERAGE($B$4:B249)</f>
        <v>3.1382124934685898</v>
      </c>
      <c r="G251" s="18">
        <f t="shared" si="16"/>
        <v>2.5983620288000004</v>
      </c>
      <c r="H251" s="19">
        <v>3</v>
      </c>
      <c r="I251" s="30">
        <f t="shared" si="17"/>
        <v>1.8113679999998133E-3</v>
      </c>
      <c r="J251" s="30">
        <f t="shared" si="18"/>
        <v>-0.7251117090000001</v>
      </c>
      <c r="K251" s="30">
        <f t="shared" si="11"/>
        <v>-0.25015247000000018</v>
      </c>
      <c r="L251" s="30">
        <f t="shared" si="12"/>
        <v>-0.63640112546858996</v>
      </c>
      <c r="M251" s="30">
        <f t="shared" si="13"/>
        <v>-9.6550660800000632E-2</v>
      </c>
      <c r="N251" s="30">
        <f t="shared" si="14"/>
        <v>-0.49818863200000019</v>
      </c>
      <c r="O251" s="28">
        <f t="shared" si="20"/>
        <v>3.2810540314233238E-6</v>
      </c>
      <c r="P251" s="28">
        <f t="shared" si="20"/>
        <v>0.52578699052890088</v>
      </c>
      <c r="Q251" s="28">
        <f t="shared" si="20"/>
        <v>6.2576258247100988E-2</v>
      </c>
      <c r="R251" s="28">
        <f t="shared" si="19"/>
        <v>0.40500639249768799</v>
      </c>
      <c r="S251" s="28">
        <f t="shared" si="19"/>
        <v>9.3220301009167787E-3</v>
      </c>
      <c r="T251" s="28">
        <f t="shared" si="19"/>
        <v>0.2481919130540316</v>
      </c>
    </row>
    <row r="252" spans="1:20" x14ac:dyDescent="0.2">
      <c r="A252" s="44">
        <v>44044</v>
      </c>
      <c r="B252" s="1">
        <v>2.445426635</v>
      </c>
      <c r="C252" s="1">
        <v>2.5</v>
      </c>
      <c r="D252" s="1">
        <v>2.903846154</v>
      </c>
      <c r="E252" s="18">
        <f t="shared" si="15"/>
        <v>2.628031381</v>
      </c>
      <c r="F252" s="18">
        <f>AVERAGE($B$4:B250)</f>
        <v>3.1361469828917943</v>
      </c>
      <c r="G252" s="18">
        <f t="shared" si="16"/>
        <v>2.5670515693200002</v>
      </c>
      <c r="H252" s="19">
        <v>3</v>
      </c>
      <c r="I252" s="30">
        <f t="shared" si="17"/>
        <v>-5.4573364999999985E-2</v>
      </c>
      <c r="J252" s="30">
        <f t="shared" si="18"/>
        <v>-0.458419519</v>
      </c>
      <c r="K252" s="30">
        <f t="shared" si="11"/>
        <v>-0.18260474599999998</v>
      </c>
      <c r="L252" s="30">
        <f t="shared" si="12"/>
        <v>-0.69072034789179426</v>
      </c>
      <c r="M252" s="30">
        <f t="shared" si="13"/>
        <v>-0.12162493432000021</v>
      </c>
      <c r="N252" s="30">
        <f t="shared" si="14"/>
        <v>-0.55457336499999998</v>
      </c>
      <c r="O252" s="28">
        <f t="shared" si="20"/>
        <v>2.9782521674232235E-3</v>
      </c>
      <c r="P252" s="28">
        <f t="shared" si="20"/>
        <v>0.21014845540019136</v>
      </c>
      <c r="Q252" s="28">
        <f t="shared" si="20"/>
        <v>3.3344493261724513E-2</v>
      </c>
      <c r="R252" s="28">
        <f t="shared" si="19"/>
        <v>0.47709459899176132</v>
      </c>
      <c r="S252" s="28">
        <f t="shared" si="19"/>
        <v>1.4792624648344365E-2</v>
      </c>
      <c r="T252" s="28">
        <f t="shared" si="19"/>
        <v>0.30755161716742319</v>
      </c>
    </row>
    <row r="253" spans="1:20" x14ac:dyDescent="0.2">
      <c r="A253" s="44">
        <v>44075</v>
      </c>
      <c r="B253" s="1">
        <v>3.0837120859999998</v>
      </c>
      <c r="C253" s="1">
        <v>2.5</v>
      </c>
      <c r="D253" s="1">
        <v>2.7833333329999999</v>
      </c>
      <c r="E253" s="18">
        <f t="shared" si="15"/>
        <v>2.5018113679999998</v>
      </c>
      <c r="F253" s="18">
        <f>AVERAGE($B$4:B251)</f>
        <v>3.1335891779930365</v>
      </c>
      <c r="G253" s="18">
        <f t="shared" si="16"/>
        <v>2.5322228563400002</v>
      </c>
      <c r="H253" s="19">
        <v>3</v>
      </c>
      <c r="I253" s="30">
        <f t="shared" si="17"/>
        <v>0.5837120859999998</v>
      </c>
      <c r="J253" s="30">
        <f t="shared" si="18"/>
        <v>0.30037875299999994</v>
      </c>
      <c r="K253" s="30">
        <f t="shared" si="11"/>
        <v>0.58190071799999998</v>
      </c>
      <c r="L253" s="30">
        <f t="shared" si="12"/>
        <v>-4.9877091993036693E-2</v>
      </c>
      <c r="M253" s="30">
        <f t="shared" si="13"/>
        <v>0.55148922965999958</v>
      </c>
      <c r="N253" s="30">
        <f t="shared" si="14"/>
        <v>8.3712085999999797E-2</v>
      </c>
      <c r="O253" s="28">
        <f t="shared" si="20"/>
        <v>0.34071979934247115</v>
      </c>
      <c r="P253" s="28">
        <f t="shared" si="20"/>
        <v>9.0227395253834969E-2</v>
      </c>
      <c r="Q253" s="28">
        <f t="shared" si="20"/>
        <v>0.33860844560891551</v>
      </c>
      <c r="R253" s="28">
        <f t="shared" si="19"/>
        <v>2.487724305681845E-3</v>
      </c>
      <c r="S253" s="28">
        <f t="shared" si="19"/>
        <v>0.30414037043097975</v>
      </c>
      <c r="T253" s="28">
        <f t="shared" si="19"/>
        <v>7.0077133424713616E-3</v>
      </c>
    </row>
    <row r="254" spans="1:20" x14ac:dyDescent="0.2">
      <c r="A254" s="44">
        <v>44105</v>
      </c>
      <c r="B254" s="1">
        <v>2.9564600950000002</v>
      </c>
      <c r="C254" s="1">
        <v>2.6</v>
      </c>
      <c r="D254" s="1">
        <v>2.8614583329999999</v>
      </c>
      <c r="E254" s="18">
        <f t="shared" si="15"/>
        <v>2.445426635</v>
      </c>
      <c r="F254" s="18">
        <f>AVERAGE($B$4:B252)</f>
        <v>3.1308254730010967</v>
      </c>
      <c r="G254" s="18">
        <f t="shared" si="16"/>
        <v>2.4969866671799998</v>
      </c>
      <c r="H254" s="19">
        <v>3</v>
      </c>
      <c r="I254" s="30">
        <f t="shared" si="17"/>
        <v>0.35646009500000009</v>
      </c>
      <c r="J254" s="30">
        <f t="shared" si="18"/>
        <v>9.5001762000000323E-2</v>
      </c>
      <c r="K254" s="30">
        <f t="shared" si="11"/>
        <v>0.51103346000000016</v>
      </c>
      <c r="L254" s="30">
        <f t="shared" si="12"/>
        <v>-0.17436537800109653</v>
      </c>
      <c r="M254" s="30">
        <f t="shared" si="13"/>
        <v>0.45947342782000034</v>
      </c>
      <c r="N254" s="30">
        <f t="shared" si="14"/>
        <v>-4.3539904999999823E-2</v>
      </c>
      <c r="O254" s="28">
        <f t="shared" si="20"/>
        <v>0.12706379932740908</v>
      </c>
      <c r="P254" s="28">
        <f t="shared" si="20"/>
        <v>9.0253347831047055E-3</v>
      </c>
      <c r="Q254" s="28">
        <f t="shared" si="20"/>
        <v>0.26115519723957176</v>
      </c>
      <c r="R254" s="28">
        <f t="shared" si="19"/>
        <v>3.0403285045465276E-2</v>
      </c>
      <c r="S254" s="28">
        <f t="shared" si="19"/>
        <v>0.21111583087266106</v>
      </c>
      <c r="T254" s="28">
        <f t="shared" si="19"/>
        <v>1.8957233274090096E-3</v>
      </c>
    </row>
    <row r="255" spans="1:20" x14ac:dyDescent="0.2">
      <c r="A255" s="44">
        <v>44136</v>
      </c>
      <c r="B255" s="1">
        <v>2.7280128330000002</v>
      </c>
      <c r="C255" s="1">
        <v>2.7</v>
      </c>
      <c r="D255" s="1">
        <v>2.8022988510000002</v>
      </c>
      <c r="E255" s="18">
        <f t="shared" si="15"/>
        <v>3.0837120859999998</v>
      </c>
      <c r="F255" s="18">
        <f>AVERAGE($B$4:B253)</f>
        <v>3.1306370194530921</v>
      </c>
      <c r="G255" s="18">
        <f t="shared" si="16"/>
        <v>2.4782693498200006</v>
      </c>
      <c r="H255" s="19">
        <v>3</v>
      </c>
      <c r="I255" s="30">
        <f t="shared" si="17"/>
        <v>2.8012833000000015E-2</v>
      </c>
      <c r="J255" s="30">
        <f t="shared" si="18"/>
        <v>-7.4286018000000009E-2</v>
      </c>
      <c r="K255" s="30">
        <f t="shared" si="11"/>
        <v>-0.3556992529999996</v>
      </c>
      <c r="L255" s="30">
        <f t="shared" si="12"/>
        <v>-0.40262418645309195</v>
      </c>
      <c r="M255" s="30">
        <f t="shared" si="13"/>
        <v>0.24974348317999961</v>
      </c>
      <c r="N255" s="30">
        <f t="shared" si="14"/>
        <v>-0.27198716699999981</v>
      </c>
      <c r="O255" s="28">
        <f t="shared" si="20"/>
        <v>7.8471881268588983E-4</v>
      </c>
      <c r="P255" s="28">
        <f t="shared" si="20"/>
        <v>5.5184124702963256E-3</v>
      </c>
      <c r="Q255" s="28">
        <f t="shared" si="20"/>
        <v>0.12652195858475773</v>
      </c>
      <c r="R255" s="28">
        <f t="shared" si="19"/>
        <v>0.16210623551701414</v>
      </c>
      <c r="S255" s="28">
        <f t="shared" si="19"/>
        <v>6.2371807390878747E-2</v>
      </c>
      <c r="T255" s="28">
        <f t="shared" si="19"/>
        <v>7.3977019012685788E-2</v>
      </c>
    </row>
    <row r="256" spans="1:20" x14ac:dyDescent="0.2">
      <c r="A256" s="44">
        <v>44166</v>
      </c>
      <c r="B256" s="1">
        <v>2.9728708990000001</v>
      </c>
      <c r="C256" s="1">
        <v>2.9</v>
      </c>
      <c r="D256" s="1">
        <v>3.0897727270000002</v>
      </c>
      <c r="E256" s="18">
        <f t="shared" si="15"/>
        <v>2.9564600950000002</v>
      </c>
      <c r="F256" s="18">
        <f>AVERAGE($B$4:B254)</f>
        <v>3.1299430874831597</v>
      </c>
      <c r="G256" s="18">
        <f t="shared" si="16"/>
        <v>2.4699594075999998</v>
      </c>
      <c r="H256" s="19">
        <v>3</v>
      </c>
      <c r="I256" s="30">
        <f t="shared" si="17"/>
        <v>7.2870899000000211E-2</v>
      </c>
      <c r="J256" s="30">
        <f t="shared" si="18"/>
        <v>-0.11690182800000004</v>
      </c>
      <c r="K256" s="30">
        <f t="shared" si="11"/>
        <v>1.6410803999999946E-2</v>
      </c>
      <c r="L256" s="30">
        <f t="shared" si="12"/>
        <v>-0.15707218848315962</v>
      </c>
      <c r="M256" s="30">
        <f t="shared" si="13"/>
        <v>0.50291149140000035</v>
      </c>
      <c r="N256" s="30">
        <f t="shared" si="14"/>
        <v>-2.7129100999999878E-2</v>
      </c>
      <c r="O256" s="28">
        <f t="shared" si="20"/>
        <v>5.3101679210682314E-3</v>
      </c>
      <c r="P256" s="28">
        <f t="shared" si="20"/>
        <v>1.3666037389741594E-2</v>
      </c>
      <c r="Q256" s="28">
        <f t="shared" si="20"/>
        <v>2.6931448792641421E-4</v>
      </c>
      <c r="R256" s="28">
        <f t="shared" si="19"/>
        <v>2.4671672394889224E-2</v>
      </c>
      <c r="S256" s="28">
        <f t="shared" si="19"/>
        <v>0.25291996818217261</v>
      </c>
      <c r="T256" s="28">
        <f t="shared" si="19"/>
        <v>7.3598812106819434E-4</v>
      </c>
    </row>
    <row r="257" spans="1:20" x14ac:dyDescent="0.2">
      <c r="A257" s="44">
        <v>44197</v>
      </c>
      <c r="B257" s="1">
        <v>3.112206333</v>
      </c>
      <c r="C257" s="1">
        <v>2.9</v>
      </c>
      <c r="D257" s="1">
        <v>3.149</v>
      </c>
      <c r="E257" s="18">
        <f t="shared" si="15"/>
        <v>2.7280128330000002</v>
      </c>
      <c r="F257" s="18">
        <f>AVERAGE($B$4:B255)</f>
        <v>3.1283481261558457</v>
      </c>
      <c r="G257" s="18">
        <f t="shared" si="16"/>
        <v>2.4625995959800004</v>
      </c>
      <c r="H257" s="19">
        <v>3</v>
      </c>
      <c r="I257" s="30">
        <f t="shared" si="17"/>
        <v>0.21220633300000014</v>
      </c>
      <c r="J257" s="30">
        <f t="shared" si="18"/>
        <v>-3.6793666999999974E-2</v>
      </c>
      <c r="K257" s="30">
        <f t="shared" si="11"/>
        <v>0.38419349999999985</v>
      </c>
      <c r="L257" s="30">
        <f t="shared" si="12"/>
        <v>-1.614179315584563E-2</v>
      </c>
      <c r="M257" s="30">
        <f t="shared" si="13"/>
        <v>0.6496067370199996</v>
      </c>
      <c r="N257" s="30">
        <f t="shared" si="14"/>
        <v>0.11220633300000005</v>
      </c>
      <c r="O257" s="28">
        <f t="shared" si="20"/>
        <v>4.5031527765306945E-2</v>
      </c>
      <c r="P257" s="28">
        <f t="shared" si="20"/>
        <v>1.353773931306887E-3</v>
      </c>
      <c r="Q257" s="28">
        <f t="shared" si="20"/>
        <v>0.14760464544224988</v>
      </c>
      <c r="R257" s="28">
        <f t="shared" si="19"/>
        <v>2.6055748628610483E-4</v>
      </c>
      <c r="S257" s="28">
        <f t="shared" si="19"/>
        <v>0.42198891278177092</v>
      </c>
      <c r="T257" s="28">
        <f t="shared" si="19"/>
        <v>1.25902611653069E-2</v>
      </c>
    </row>
    <row r="258" spans="1:20" x14ac:dyDescent="0.2">
      <c r="A258" s="44">
        <v>44228</v>
      </c>
      <c r="B258" s="1">
        <v>2.8421620390000002</v>
      </c>
      <c r="C258" s="1">
        <v>3</v>
      </c>
      <c r="D258" s="1">
        <v>3.0714285710000002</v>
      </c>
      <c r="E258" s="18">
        <f t="shared" si="15"/>
        <v>2.9728708990000001</v>
      </c>
      <c r="F258" s="18">
        <f>AVERAGE($B$4:B256)</f>
        <v>3.1277335916611584</v>
      </c>
      <c r="G258" s="18">
        <f t="shared" si="16"/>
        <v>2.4651085963400003</v>
      </c>
      <c r="H258" s="19">
        <v>3</v>
      </c>
      <c r="I258" s="30">
        <f t="shared" si="17"/>
        <v>-0.1578379609999998</v>
      </c>
      <c r="J258" s="30">
        <f t="shared" si="18"/>
        <v>-0.22926653200000002</v>
      </c>
      <c r="K258" s="30">
        <f t="shared" si="11"/>
        <v>-0.13070885999999993</v>
      </c>
      <c r="L258" s="30">
        <f t="shared" si="12"/>
        <v>-0.28557155266115819</v>
      </c>
      <c r="M258" s="30">
        <f t="shared" si="13"/>
        <v>0.37705344265999985</v>
      </c>
      <c r="N258" s="30">
        <f t="shared" si="14"/>
        <v>-0.1578379609999998</v>
      </c>
      <c r="O258" s="28">
        <f t="shared" si="20"/>
        <v>2.4912821932637459E-2</v>
      </c>
      <c r="P258" s="28">
        <f t="shared" si="20"/>
        <v>5.2563142695307034E-2</v>
      </c>
      <c r="Q258" s="28">
        <f t="shared" si="20"/>
        <v>1.7084806082499581E-2</v>
      </c>
      <c r="R258" s="28">
        <f t="shared" si="19"/>
        <v>8.1551111689304651E-2</v>
      </c>
      <c r="S258" s="28">
        <f t="shared" si="19"/>
        <v>0.14216929862175778</v>
      </c>
      <c r="T258" s="28">
        <f t="shared" si="19"/>
        <v>2.4912821932637459E-2</v>
      </c>
    </row>
    <row r="259" spans="1:20" x14ac:dyDescent="0.2">
      <c r="A259" s="44">
        <v>44256</v>
      </c>
      <c r="B259" s="1">
        <v>2.8880431369999999</v>
      </c>
      <c r="C259" s="1">
        <v>3</v>
      </c>
      <c r="D259" s="1">
        <v>3.2366336630000001</v>
      </c>
      <c r="E259" s="18">
        <f t="shared" si="15"/>
        <v>3.112206333</v>
      </c>
      <c r="F259" s="18">
        <f>AVERAGE($B$4:B257)</f>
        <v>3.1276724607215476</v>
      </c>
      <c r="G259" s="18">
        <f t="shared" si="16"/>
        <v>2.4687684668600003</v>
      </c>
      <c r="H259" s="19">
        <v>3</v>
      </c>
      <c r="I259" s="30">
        <f t="shared" si="17"/>
        <v>-0.11195686300000007</v>
      </c>
      <c r="J259" s="30">
        <f t="shared" si="18"/>
        <v>-0.34859052600000018</v>
      </c>
      <c r="K259" s="30">
        <f t="shared" si="11"/>
        <v>-0.22416319600000012</v>
      </c>
      <c r="L259" s="30">
        <f t="shared" si="12"/>
        <v>-0.23962932372154766</v>
      </c>
      <c r="M259" s="30">
        <f t="shared" si="13"/>
        <v>0.41927467013999964</v>
      </c>
      <c r="N259" s="30">
        <f t="shared" si="14"/>
        <v>-0.11195686300000007</v>
      </c>
      <c r="O259" s="28">
        <f t="shared" si="20"/>
        <v>1.2534339172800786E-2</v>
      </c>
      <c r="P259" s="28">
        <f t="shared" si="20"/>
        <v>0.1215153548169568</v>
      </c>
      <c r="Q259" s="28">
        <f t="shared" si="20"/>
        <v>5.0249138440934468E-2</v>
      </c>
      <c r="R259" s="28">
        <f t="shared" si="19"/>
        <v>5.7422212787246282E-2</v>
      </c>
      <c r="S259" s="28">
        <f t="shared" si="19"/>
        <v>0.17579124902100551</v>
      </c>
      <c r="T259" s="28">
        <f t="shared" si="19"/>
        <v>1.2534339172800786E-2</v>
      </c>
    </row>
    <row r="260" spans="1:20" x14ac:dyDescent="0.2">
      <c r="A260" s="44">
        <v>44287</v>
      </c>
      <c r="B260" s="1">
        <v>3.3179267019999998</v>
      </c>
      <c r="C260" s="1">
        <v>3</v>
      </c>
      <c r="D260" s="1">
        <v>3.3558558559999998</v>
      </c>
      <c r="E260" s="18">
        <f t="shared" si="15"/>
        <v>2.8421620390000002</v>
      </c>
      <c r="F260" s="18">
        <f>AVERAGE($B$4:B258)</f>
        <v>3.1265528120089137</v>
      </c>
      <c r="G260" s="18">
        <f t="shared" si="16"/>
        <v>2.4714372150399999</v>
      </c>
      <c r="H260" s="19">
        <v>3</v>
      </c>
      <c r="I260" s="30">
        <f t="shared" si="17"/>
        <v>0.31792670199999984</v>
      </c>
      <c r="J260" s="30">
        <f t="shared" si="18"/>
        <v>-3.7929153999999965E-2</v>
      </c>
      <c r="K260" s="30">
        <f t="shared" si="11"/>
        <v>0.47576466299999964</v>
      </c>
      <c r="L260" s="30">
        <f t="shared" si="12"/>
        <v>0.19137388999108618</v>
      </c>
      <c r="M260" s="30">
        <f t="shared" si="13"/>
        <v>0.84648948695999993</v>
      </c>
      <c r="N260" s="30">
        <f t="shared" si="14"/>
        <v>0.31792670199999984</v>
      </c>
      <c r="O260" s="28">
        <f t="shared" si="20"/>
        <v>0.1010773878445967</v>
      </c>
      <c r="P260" s="28">
        <f t="shared" si="20"/>
        <v>1.4386207231557133E-3</v>
      </c>
      <c r="Q260" s="28">
        <f t="shared" si="20"/>
        <v>0.22635201455950324</v>
      </c>
      <c r="R260" s="28">
        <f t="shared" si="19"/>
        <v>3.6623965770320351E-2</v>
      </c>
      <c r="S260" s="28">
        <f t="shared" si="19"/>
        <v>0.71654445153380386</v>
      </c>
      <c r="T260" s="28">
        <f t="shared" si="19"/>
        <v>0.1010773878445967</v>
      </c>
    </row>
    <row r="261" spans="1:20" x14ac:dyDescent="0.2">
      <c r="A261" s="44">
        <v>44317</v>
      </c>
      <c r="B261" s="1">
        <v>3.6470434350000001</v>
      </c>
      <c r="C261" s="1">
        <v>3</v>
      </c>
      <c r="D261" s="1">
        <v>3.395132743</v>
      </c>
      <c r="E261" s="18">
        <f t="shared" si="15"/>
        <v>2.8880431369999999</v>
      </c>
      <c r="F261" s="18">
        <f>AVERAGE($B$4:B259)</f>
        <v>3.1256211335909101</v>
      </c>
      <c r="G261" s="18">
        <f t="shared" si="16"/>
        <v>2.4736041778</v>
      </c>
      <c r="H261" s="19">
        <v>3</v>
      </c>
      <c r="I261" s="30">
        <f t="shared" si="17"/>
        <v>0.64704343500000006</v>
      </c>
      <c r="J261" s="30">
        <f t="shared" si="18"/>
        <v>0.25191069200000005</v>
      </c>
      <c r="K261" s="30">
        <f t="shared" si="11"/>
        <v>0.75900029800000013</v>
      </c>
      <c r="L261" s="30">
        <f t="shared" si="12"/>
        <v>0.52142230140908996</v>
      </c>
      <c r="M261" s="30">
        <f t="shared" si="13"/>
        <v>1.1734392572000001</v>
      </c>
      <c r="N261" s="30">
        <f t="shared" si="14"/>
        <v>0.64704343500000006</v>
      </c>
      <c r="O261" s="28">
        <f t="shared" si="20"/>
        <v>0.4186652067765993</v>
      </c>
      <c r="P261" s="28">
        <f t="shared" si="20"/>
        <v>6.3458996743918888E-2</v>
      </c>
      <c r="Q261" s="28">
        <f t="shared" si="20"/>
        <v>0.57608145236408903</v>
      </c>
      <c r="R261" s="28">
        <f t="shared" si="19"/>
        <v>0.27188121640675184</v>
      </c>
      <c r="S261" s="28">
        <f t="shared" si="19"/>
        <v>1.3769596903380878</v>
      </c>
      <c r="T261" s="28">
        <f t="shared" si="19"/>
        <v>0.4186652067765993</v>
      </c>
    </row>
    <row r="262" spans="1:20" x14ac:dyDescent="0.2">
      <c r="A262" s="44">
        <v>44348</v>
      </c>
      <c r="B262" s="1">
        <v>3.804306983</v>
      </c>
      <c r="C262" s="1">
        <v>3</v>
      </c>
      <c r="D262" s="1">
        <v>3.5</v>
      </c>
      <c r="E262" s="18">
        <f t="shared" si="15"/>
        <v>3.3179267019999998</v>
      </c>
      <c r="F262" s="18">
        <f>AVERAGE($B$4:B260)</f>
        <v>3.1263694042851089</v>
      </c>
      <c r="G262" s="18">
        <f t="shared" si="16"/>
        <v>2.4851595897399998</v>
      </c>
      <c r="H262" s="19">
        <v>3</v>
      </c>
      <c r="I262" s="30">
        <f t="shared" si="17"/>
        <v>0.80430698300000003</v>
      </c>
      <c r="J262" s="30">
        <f t="shared" si="18"/>
        <v>0.30430698300000003</v>
      </c>
      <c r="K262" s="30">
        <f t="shared" si="11"/>
        <v>0.48638028100000019</v>
      </c>
      <c r="L262" s="30">
        <f t="shared" si="12"/>
        <v>0.67793757871489113</v>
      </c>
      <c r="M262" s="30">
        <f t="shared" si="13"/>
        <v>1.3191473932600002</v>
      </c>
      <c r="N262" s="30">
        <f t="shared" si="14"/>
        <v>0.80430698300000003</v>
      </c>
      <c r="O262" s="28">
        <f t="shared" si="20"/>
        <v>0.64690972290256232</v>
      </c>
      <c r="P262" s="28">
        <f t="shared" si="20"/>
        <v>9.2602739902562306E-2</v>
      </c>
      <c r="Q262" s="28">
        <f t="shared" si="20"/>
        <v>0.23656577774563914</v>
      </c>
      <c r="R262" s="28">
        <f t="shared" si="19"/>
        <v>0.45959936063380918</v>
      </c>
      <c r="S262" s="28">
        <f t="shared" si="19"/>
        <v>1.7401498451446535</v>
      </c>
      <c r="T262" s="28">
        <f t="shared" si="19"/>
        <v>0.64690972290256232</v>
      </c>
    </row>
    <row r="263" spans="1:20" x14ac:dyDescent="0.2">
      <c r="A263" s="44">
        <v>44378</v>
      </c>
      <c r="B263" s="1">
        <v>4.5391987560000002</v>
      </c>
      <c r="C263" s="1">
        <v>3.2</v>
      </c>
      <c r="D263" s="1">
        <v>3.5401960780000001</v>
      </c>
      <c r="E263" s="18">
        <f t="shared" si="15"/>
        <v>3.6470434350000001</v>
      </c>
      <c r="F263" s="18">
        <f>AVERAGE($B$4:B261)</f>
        <v>3.1283875206832286</v>
      </c>
      <c r="G263" s="18">
        <f t="shared" si="16"/>
        <v>2.5032381587599999</v>
      </c>
      <c r="H263" s="19">
        <v>3</v>
      </c>
      <c r="I263" s="30">
        <f t="shared" si="17"/>
        <v>1.339198756</v>
      </c>
      <c r="J263" s="30">
        <f t="shared" si="18"/>
        <v>0.99900267800000009</v>
      </c>
      <c r="K263" s="30">
        <f t="shared" si="11"/>
        <v>0.89215532100000017</v>
      </c>
      <c r="L263" s="30">
        <f t="shared" si="12"/>
        <v>1.4108112353167717</v>
      </c>
      <c r="M263" s="30">
        <f t="shared" si="13"/>
        <v>2.0359605972400003</v>
      </c>
      <c r="N263" s="30">
        <f t="shared" si="14"/>
        <v>1.5391987560000002</v>
      </c>
      <c r="O263" s="28">
        <f t="shared" si="20"/>
        <v>1.7934533080719477</v>
      </c>
      <c r="P263" s="28">
        <f t="shared" si="20"/>
        <v>0.99800635065117183</v>
      </c>
      <c r="Q263" s="28">
        <f t="shared" si="20"/>
        <v>0.79594111678861335</v>
      </c>
      <c r="R263" s="28">
        <f t="shared" si="19"/>
        <v>1.9903883416960353</v>
      </c>
      <c r="S263" s="28">
        <f t="shared" si="19"/>
        <v>4.1451355535138585</v>
      </c>
      <c r="T263" s="28">
        <f t="shared" si="19"/>
        <v>2.3691328104719482</v>
      </c>
    </row>
    <row r="264" spans="1:20" x14ac:dyDescent="0.2">
      <c r="A264" s="44">
        <v>44409</v>
      </c>
      <c r="B264" s="1">
        <v>4.7764148549999996</v>
      </c>
      <c r="C264" s="1">
        <v>3.3</v>
      </c>
      <c r="D264" s="1">
        <v>3.6294642860000002</v>
      </c>
      <c r="E264" s="18">
        <f t="shared" si="15"/>
        <v>3.804306983</v>
      </c>
      <c r="F264" s="18">
        <f>AVERAGE($B$4:B262)</f>
        <v>3.130997248336961</v>
      </c>
      <c r="G264" s="18">
        <f t="shared" si="16"/>
        <v>2.5262343211399996</v>
      </c>
      <c r="H264" s="19">
        <v>3</v>
      </c>
      <c r="I264" s="30">
        <f t="shared" si="17"/>
        <v>1.4764148549999998</v>
      </c>
      <c r="J264" s="30">
        <f t="shared" si="18"/>
        <v>1.1469505689999995</v>
      </c>
      <c r="K264" s="30">
        <f t="shared" si="11"/>
        <v>0.9721078719999996</v>
      </c>
      <c r="L264" s="30">
        <f t="shared" si="12"/>
        <v>1.6454176066630386</v>
      </c>
      <c r="M264" s="30">
        <f t="shared" si="13"/>
        <v>2.2501805338600001</v>
      </c>
      <c r="N264" s="30">
        <f t="shared" si="14"/>
        <v>1.7764148549999996</v>
      </c>
      <c r="O264" s="28">
        <f t="shared" si="20"/>
        <v>2.1798008240646705</v>
      </c>
      <c r="P264" s="28">
        <f t="shared" si="20"/>
        <v>1.3154956077294226</v>
      </c>
      <c r="Q264" s="28">
        <f t="shared" si="20"/>
        <v>0.94499371480436756</v>
      </c>
      <c r="R264" s="28">
        <f t="shared" si="19"/>
        <v>2.7073991003167222</v>
      </c>
      <c r="S264" s="28">
        <f t="shared" si="19"/>
        <v>5.0633124349624747</v>
      </c>
      <c r="T264" s="28">
        <f t="shared" si="19"/>
        <v>3.1556497370646697</v>
      </c>
    </row>
    <row r="265" spans="1:20" x14ac:dyDescent="0.2">
      <c r="A265" s="44">
        <v>44440</v>
      </c>
      <c r="B265" s="1">
        <v>5.3413926250000001</v>
      </c>
      <c r="C265" s="1">
        <v>3.5</v>
      </c>
      <c r="D265" s="1">
        <v>3.7718446600000002</v>
      </c>
      <c r="E265" s="18">
        <f t="shared" si="15"/>
        <v>4.5391987560000002</v>
      </c>
      <c r="F265" s="18">
        <f>AVERAGE($B$4:B263)</f>
        <v>3.1364134079818191</v>
      </c>
      <c r="G265" s="18">
        <f t="shared" si="16"/>
        <v>2.5659271864799997</v>
      </c>
      <c r="H265" s="19">
        <v>3</v>
      </c>
      <c r="I265" s="30">
        <f t="shared" si="17"/>
        <v>1.8413926250000001</v>
      </c>
      <c r="J265" s="30">
        <f t="shared" si="18"/>
        <v>1.5695479649999999</v>
      </c>
      <c r="K265" s="30">
        <f t="shared" si="11"/>
        <v>0.80219386899999989</v>
      </c>
      <c r="L265" s="30">
        <f t="shared" si="12"/>
        <v>2.204979217018181</v>
      </c>
      <c r="M265" s="30">
        <f t="shared" si="13"/>
        <v>2.7754654385200004</v>
      </c>
      <c r="N265" s="30">
        <f t="shared" si="14"/>
        <v>2.3413926250000001</v>
      </c>
      <c r="O265" s="28">
        <f t="shared" si="20"/>
        <v>3.390726799404391</v>
      </c>
      <c r="P265" s="28">
        <f t="shared" si="20"/>
        <v>2.4634808144356408</v>
      </c>
      <c r="Q265" s="28">
        <f t="shared" si="20"/>
        <v>0.64351500346118895</v>
      </c>
      <c r="R265" s="28">
        <f t="shared" si="19"/>
        <v>4.8619333474821103</v>
      </c>
      <c r="S265" s="28">
        <f t="shared" si="19"/>
        <v>7.703208400419018</v>
      </c>
      <c r="T265" s="28">
        <f t="shared" si="19"/>
        <v>5.4821194244043916</v>
      </c>
    </row>
    <row r="266" spans="1:20" x14ac:dyDescent="0.2">
      <c r="A266" s="44">
        <v>44470</v>
      </c>
      <c r="B266" s="1">
        <v>6.0259159760000003</v>
      </c>
      <c r="C266" s="1">
        <v>4.3</v>
      </c>
      <c r="D266" s="1">
        <v>4.4580952380000003</v>
      </c>
      <c r="E266" s="18">
        <f t="shared" si="15"/>
        <v>4.7764148549999996</v>
      </c>
      <c r="F266" s="18">
        <f>AVERAGE($B$4:B264)</f>
        <v>3.1426969384301646</v>
      </c>
      <c r="G266" s="18">
        <f t="shared" si="16"/>
        <v>2.62750829788</v>
      </c>
      <c r="H266" s="19">
        <v>3</v>
      </c>
      <c r="I266" s="30">
        <f t="shared" si="17"/>
        <v>1.7259159760000005</v>
      </c>
      <c r="J266" s="30">
        <f t="shared" si="18"/>
        <v>1.567820738</v>
      </c>
      <c r="K266" s="30">
        <f t="shared" si="11"/>
        <v>1.2495011210000007</v>
      </c>
      <c r="L266" s="30">
        <f t="shared" si="12"/>
        <v>2.8832190375698357</v>
      </c>
      <c r="M266" s="30">
        <f t="shared" si="13"/>
        <v>3.3984076781200003</v>
      </c>
      <c r="N266" s="30">
        <f t="shared" si="14"/>
        <v>3.0259159760000003</v>
      </c>
      <c r="O266" s="28">
        <f t="shared" si="20"/>
        <v>2.9787859562120342</v>
      </c>
      <c r="P266" s="28">
        <f t="shared" si="20"/>
        <v>2.4580618665028644</v>
      </c>
      <c r="Q266" s="28">
        <f t="shared" si="20"/>
        <v>1.5612530513802583</v>
      </c>
      <c r="R266" s="28">
        <f t="shared" si="19"/>
        <v>8.3129520186051291</v>
      </c>
      <c r="S266" s="28">
        <f t="shared" si="19"/>
        <v>11.549174746704972</v>
      </c>
      <c r="T266" s="28">
        <f t="shared" si="19"/>
        <v>9.1561674938120348</v>
      </c>
    </row>
    <row r="267" spans="1:20" x14ac:dyDescent="0.2">
      <c r="A267" s="44">
        <v>44501</v>
      </c>
      <c r="B267" s="1">
        <v>6.7011794350000002</v>
      </c>
      <c r="C267" s="1">
        <v>4.5</v>
      </c>
      <c r="D267" s="1">
        <v>4.7642201829999999</v>
      </c>
      <c r="E267" s="18">
        <f t="shared" si="15"/>
        <v>5.3413926250000001</v>
      </c>
      <c r="F267" s="18">
        <f>AVERAGE($B$4:B265)</f>
        <v>3.1510889066995151</v>
      </c>
      <c r="G267" s="18">
        <f t="shared" si="16"/>
        <v>2.7004055834399998</v>
      </c>
      <c r="H267" s="19">
        <v>3</v>
      </c>
      <c r="I267" s="30">
        <f t="shared" si="17"/>
        <v>2.2011794350000002</v>
      </c>
      <c r="J267" s="30">
        <f t="shared" si="18"/>
        <v>1.9369592520000003</v>
      </c>
      <c r="K267" s="30">
        <f t="shared" si="11"/>
        <v>1.3597868100000001</v>
      </c>
      <c r="L267" s="30">
        <f t="shared" si="12"/>
        <v>3.5500905283004851</v>
      </c>
      <c r="M267" s="30">
        <f t="shared" si="13"/>
        <v>4.00077385156</v>
      </c>
      <c r="N267" s="30">
        <f t="shared" si="14"/>
        <v>3.7011794350000002</v>
      </c>
      <c r="O267" s="28">
        <f t="shared" si="20"/>
        <v>4.8451909050669206</v>
      </c>
      <c r="P267" s="28">
        <f t="shared" si="20"/>
        <v>3.7518111439084008</v>
      </c>
      <c r="Q267" s="28">
        <f t="shared" si="20"/>
        <v>1.8490201686499765</v>
      </c>
      <c r="R267" s="28">
        <f t="shared" si="19"/>
        <v>12.603142759128817</v>
      </c>
      <c r="S267" s="28">
        <f t="shared" si="19"/>
        <v>16.006191411326238</v>
      </c>
      <c r="T267" s="28">
        <f t="shared" si="19"/>
        <v>13.69872921006692</v>
      </c>
    </row>
    <row r="268" spans="1:20" x14ac:dyDescent="0.2">
      <c r="A268" s="44">
        <v>44531</v>
      </c>
      <c r="B268" s="1">
        <v>7.1728409299999996</v>
      </c>
      <c r="C268" s="1">
        <v>4.8</v>
      </c>
      <c r="D268" s="1">
        <v>5.4114583329999997</v>
      </c>
      <c r="E268" s="18">
        <f t="shared" si="15"/>
        <v>6.0259159760000003</v>
      </c>
      <c r="F268" s="18">
        <f>AVERAGE($B$4:B266)</f>
        <v>3.1620198081036994</v>
      </c>
      <c r="G268" s="18">
        <f t="shared" si="16"/>
        <v>2.7838771030599996</v>
      </c>
      <c r="H268" s="19">
        <v>3</v>
      </c>
      <c r="I268" s="30">
        <f t="shared" si="17"/>
        <v>2.3728409299999997</v>
      </c>
      <c r="J268" s="30">
        <f t="shared" si="18"/>
        <v>1.7613825969999999</v>
      </c>
      <c r="K268" s="30">
        <f t="shared" si="11"/>
        <v>1.1469249539999993</v>
      </c>
      <c r="L268" s="30">
        <f t="shared" si="12"/>
        <v>4.0108211218963001</v>
      </c>
      <c r="M268" s="30">
        <f t="shared" si="13"/>
        <v>4.3889638269399995</v>
      </c>
      <c r="N268" s="30">
        <f t="shared" si="14"/>
        <v>4.1728409299999996</v>
      </c>
      <c r="O268" s="28">
        <f t="shared" si="20"/>
        <v>5.6303740790832633</v>
      </c>
      <c r="P268" s="28">
        <f t="shared" si="20"/>
        <v>3.1024686530144638</v>
      </c>
      <c r="Q268" s="28">
        <f t="shared" si="20"/>
        <v>1.3154368501079003</v>
      </c>
      <c r="R268" s="28">
        <f t="shared" si="19"/>
        <v>16.086686071849496</v>
      </c>
      <c r="S268" s="28">
        <f t="shared" si="19"/>
        <v>19.263003474187805</v>
      </c>
      <c r="T268" s="28">
        <f t="shared" si="19"/>
        <v>17.41260142708326</v>
      </c>
    </row>
    <row r="269" spans="1:20" x14ac:dyDescent="0.2">
      <c r="A269" s="44">
        <v>44562</v>
      </c>
      <c r="B269" s="1">
        <v>7.7037331360000003</v>
      </c>
      <c r="C269" s="1">
        <v>4.8</v>
      </c>
      <c r="D269" s="1">
        <v>5.546391753</v>
      </c>
      <c r="E269" s="18">
        <f t="shared" si="15"/>
        <v>6.7011794350000002</v>
      </c>
      <c r="F269" s="18">
        <f>AVERAGE($B$4:B267)</f>
        <v>3.175425715781337</v>
      </c>
      <c r="G269" s="18">
        <f t="shared" si="16"/>
        <v>2.8888715412200003</v>
      </c>
      <c r="H269" s="19">
        <v>3</v>
      </c>
      <c r="I269" s="30">
        <f t="shared" si="17"/>
        <v>2.9037331360000005</v>
      </c>
      <c r="J269" s="30">
        <f t="shared" si="18"/>
        <v>2.1573413830000003</v>
      </c>
      <c r="K269" s="30">
        <f t="shared" si="11"/>
        <v>1.0025537010000001</v>
      </c>
      <c r="L269" s="30">
        <f t="shared" si="12"/>
        <v>4.5283074202186633</v>
      </c>
      <c r="M269" s="30">
        <f t="shared" si="13"/>
        <v>4.81486159478</v>
      </c>
      <c r="N269" s="30">
        <f t="shared" si="14"/>
        <v>4.7037331360000003</v>
      </c>
      <c r="O269" s="28">
        <f t="shared" si="20"/>
        <v>8.4316661251043978</v>
      </c>
      <c r="P269" s="28">
        <f t="shared" si="20"/>
        <v>4.6541218428043543</v>
      </c>
      <c r="Q269" s="28">
        <f t="shared" si="20"/>
        <v>1.0051139233887976</v>
      </c>
      <c r="R269" s="28">
        <f t="shared" si="19"/>
        <v>20.505568092007405</v>
      </c>
      <c r="S269" s="28">
        <f t="shared" si="19"/>
        <v>23.182892176887403</v>
      </c>
      <c r="T269" s="28">
        <f t="shared" si="19"/>
        <v>22.125105414704397</v>
      </c>
    </row>
    <row r="270" spans="1:20" x14ac:dyDescent="0.2">
      <c r="A270" s="44">
        <v>44593</v>
      </c>
      <c r="B270" s="1">
        <v>7.8155724319999997</v>
      </c>
      <c r="C270" s="1">
        <v>4.7</v>
      </c>
      <c r="D270" s="1">
        <v>5.6413043480000002</v>
      </c>
      <c r="E270" s="18">
        <f t="shared" si="15"/>
        <v>7.1728409299999996</v>
      </c>
      <c r="F270" s="18">
        <f>AVERAGE($B$4:B268)</f>
        <v>3.1905103014953697</v>
      </c>
      <c r="G270" s="18">
        <f t="shared" si="16"/>
        <v>2.99477221218</v>
      </c>
      <c r="H270" s="19">
        <v>3</v>
      </c>
      <c r="I270" s="30">
        <f t="shared" si="17"/>
        <v>3.1155724319999996</v>
      </c>
      <c r="J270" s="30">
        <f t="shared" si="18"/>
        <v>2.1742680839999995</v>
      </c>
      <c r="K270" s="30">
        <f t="shared" si="11"/>
        <v>0.64273150200000018</v>
      </c>
      <c r="L270" s="30">
        <f t="shared" si="12"/>
        <v>4.62506213050463</v>
      </c>
      <c r="M270" s="30">
        <f t="shared" si="13"/>
        <v>4.8208002198199997</v>
      </c>
      <c r="N270" s="30">
        <f t="shared" si="14"/>
        <v>4.8155724319999997</v>
      </c>
      <c r="O270" s="28">
        <f t="shared" si="20"/>
        <v>9.7067915790383914</v>
      </c>
      <c r="P270" s="28">
        <f t="shared" si="20"/>
        <v>4.7274417011010286</v>
      </c>
      <c r="Q270" s="28">
        <f t="shared" si="20"/>
        <v>0.41310378366317624</v>
      </c>
      <c r="R270" s="28">
        <f t="shared" si="19"/>
        <v>21.391199711028026</v>
      </c>
      <c r="S270" s="28">
        <f t="shared" si="19"/>
        <v>23.240114759416556</v>
      </c>
      <c r="T270" s="28">
        <f t="shared" si="19"/>
        <v>23.189737847838391</v>
      </c>
    </row>
    <row r="271" spans="1:20" x14ac:dyDescent="0.2">
      <c r="A271" s="44">
        <v>44621</v>
      </c>
      <c r="B271" s="1">
        <v>9.4043689169999993</v>
      </c>
      <c r="C271" s="1">
        <v>4.8</v>
      </c>
      <c r="D271" s="1">
        <v>5.8592233010000001</v>
      </c>
      <c r="E271" s="18">
        <f t="shared" si="15"/>
        <v>7.7037331360000003</v>
      </c>
      <c r="F271" s="18">
        <f>AVERAGE($B$4:B269)</f>
        <v>3.2074773046326048</v>
      </c>
      <c r="G271" s="18">
        <f t="shared" si="16"/>
        <v>3.1106425362600003</v>
      </c>
      <c r="H271" s="19">
        <v>3</v>
      </c>
      <c r="I271" s="30">
        <f t="shared" si="17"/>
        <v>4.6043689169999995</v>
      </c>
      <c r="J271" s="30">
        <f t="shared" si="18"/>
        <v>3.5451456159999992</v>
      </c>
      <c r="K271" s="30">
        <f t="shared" si="11"/>
        <v>1.700635780999999</v>
      </c>
      <c r="L271" s="30">
        <f t="shared" si="12"/>
        <v>6.1968916123673949</v>
      </c>
      <c r="M271" s="30">
        <f t="shared" si="13"/>
        <v>6.293726380739999</v>
      </c>
      <c r="N271" s="30">
        <f t="shared" si="14"/>
        <v>6.4043689169999993</v>
      </c>
      <c r="O271" s="28">
        <f t="shared" si="20"/>
        <v>21.200213123835749</v>
      </c>
      <c r="P271" s="28">
        <f t="shared" si="20"/>
        <v>12.568057438644013</v>
      </c>
      <c r="Q271" s="28">
        <f t="shared" si="20"/>
        <v>2.8921620596174766</v>
      </c>
      <c r="R271" s="28">
        <f t="shared" si="19"/>
        <v>38.401465655429369</v>
      </c>
      <c r="S271" s="28">
        <f t="shared" si="19"/>
        <v>39.610991755622607</v>
      </c>
      <c r="T271" s="28">
        <f t="shared" si="19"/>
        <v>41.015941225035746</v>
      </c>
    </row>
    <row r="272" spans="1:20" x14ac:dyDescent="0.2">
      <c r="A272" s="44">
        <v>44652</v>
      </c>
      <c r="B272" s="1">
        <v>10.517528520000001</v>
      </c>
      <c r="C272" s="1">
        <v>5.3</v>
      </c>
      <c r="D272" s="1">
        <v>6.5051724139999996</v>
      </c>
      <c r="E272" s="18">
        <f t="shared" si="15"/>
        <v>7.8155724319999997</v>
      </c>
      <c r="F272" s="18">
        <f>AVERAGE($B$4:B270)</f>
        <v>3.2247360878811717</v>
      </c>
      <c r="G272" s="18">
        <f t="shared" si="16"/>
        <v>3.2215621121800009</v>
      </c>
      <c r="H272" s="19">
        <v>3</v>
      </c>
      <c r="I272" s="30">
        <f t="shared" si="17"/>
        <v>5.217528520000001</v>
      </c>
      <c r="J272" s="30">
        <f t="shared" si="18"/>
        <v>4.0123561060000013</v>
      </c>
      <c r="K272" s="30">
        <f t="shared" si="11"/>
        <v>2.7019560880000011</v>
      </c>
      <c r="L272" s="30">
        <f t="shared" si="12"/>
        <v>7.2927924321188291</v>
      </c>
      <c r="M272" s="30">
        <f t="shared" si="13"/>
        <v>7.2959664078199999</v>
      </c>
      <c r="N272" s="30">
        <f t="shared" si="14"/>
        <v>7.5175285200000008</v>
      </c>
      <c r="O272" s="28">
        <f t="shared" si="20"/>
        <v>27.2226038570134</v>
      </c>
      <c r="P272" s="28">
        <f t="shared" si="20"/>
        <v>16.099001521355493</v>
      </c>
      <c r="Q272" s="28">
        <f t="shared" si="20"/>
        <v>7.3005667014802693</v>
      </c>
      <c r="R272" s="28">
        <f t="shared" si="19"/>
        <v>53.184821457969669</v>
      </c>
      <c r="S272" s="28">
        <f t="shared" si="19"/>
        <v>53.231125824037875</v>
      </c>
      <c r="T272" s="28">
        <f t="shared" si="19"/>
        <v>56.513235049013403</v>
      </c>
    </row>
    <row r="273" spans="1:20" x14ac:dyDescent="0.2">
      <c r="A273" s="44">
        <v>44682</v>
      </c>
      <c r="B273" s="1">
        <v>11.542805270000001</v>
      </c>
      <c r="C273" s="1">
        <v>6</v>
      </c>
      <c r="D273" s="1">
        <v>7.9401709399999998</v>
      </c>
      <c r="E273" s="18">
        <f t="shared" si="15"/>
        <v>9.4043689169999993</v>
      </c>
      <c r="F273" s="18">
        <f>AVERAGE($B$4:B271)</f>
        <v>3.2477944193331076</v>
      </c>
      <c r="G273" s="18">
        <f t="shared" si="16"/>
        <v>3.3658764757400008</v>
      </c>
      <c r="H273" s="19">
        <v>3</v>
      </c>
      <c r="I273" s="30">
        <f t="shared" si="17"/>
        <v>5.5428052700000006</v>
      </c>
      <c r="J273" s="30">
        <f t="shared" si="18"/>
        <v>3.6026343300000008</v>
      </c>
      <c r="K273" s="30">
        <f t="shared" si="11"/>
        <v>2.1384363530000012</v>
      </c>
      <c r="L273" s="30">
        <f t="shared" si="12"/>
        <v>8.2950108506668929</v>
      </c>
      <c r="M273" s="30">
        <f t="shared" si="13"/>
        <v>8.1769287942600002</v>
      </c>
      <c r="N273" s="30">
        <f t="shared" si="14"/>
        <v>8.5428052700000006</v>
      </c>
      <c r="O273" s="28">
        <f t="shared" si="20"/>
        <v>30.722690261139778</v>
      </c>
      <c r="P273" s="28">
        <f t="shared" si="20"/>
        <v>12.978974115694555</v>
      </c>
      <c r="Q273" s="28">
        <f t="shared" si="20"/>
        <v>4.5729100358319457</v>
      </c>
      <c r="R273" s="28">
        <f t="shared" si="19"/>
        <v>68.807205012681493</v>
      </c>
      <c r="S273" s="28">
        <f t="shared" si="19"/>
        <v>66.862164506398301</v>
      </c>
      <c r="T273" s="28">
        <f t="shared" si="19"/>
        <v>72.979521881139789</v>
      </c>
    </row>
    <row r="274" spans="1:20" x14ac:dyDescent="0.2">
      <c r="A274" s="44">
        <v>44713</v>
      </c>
      <c r="B274" s="1">
        <v>12.49339779</v>
      </c>
      <c r="C274" s="1">
        <v>6.2</v>
      </c>
      <c r="D274" s="1">
        <v>8.8008620690000008</v>
      </c>
      <c r="E274" s="18">
        <f t="shared" si="15"/>
        <v>10.517528520000001</v>
      </c>
      <c r="F274" s="18">
        <f>AVERAGE($B$4:B272)</f>
        <v>3.2748194531645831</v>
      </c>
      <c r="G274" s="18">
        <f t="shared" si="16"/>
        <v>3.5352204813200014</v>
      </c>
      <c r="H274" s="19">
        <v>3</v>
      </c>
      <c r="I274" s="30">
        <f t="shared" si="17"/>
        <v>6.2933977899999993</v>
      </c>
      <c r="J274" s="30">
        <f t="shared" si="18"/>
        <v>3.6925357209999987</v>
      </c>
      <c r="K274" s="30">
        <f t="shared" si="11"/>
        <v>1.9758692699999987</v>
      </c>
      <c r="L274" s="30">
        <f t="shared" si="12"/>
        <v>9.2185783368354173</v>
      </c>
      <c r="M274" s="30">
        <f t="shared" si="13"/>
        <v>8.9581773086799981</v>
      </c>
      <c r="N274" s="30">
        <f t="shared" si="14"/>
        <v>9.4933977899999995</v>
      </c>
      <c r="O274" s="28">
        <f t="shared" si="20"/>
        <v>39.606855743176872</v>
      </c>
      <c r="P274" s="28">
        <f t="shared" si="20"/>
        <v>13.634820050860981</v>
      </c>
      <c r="Q274" s="28">
        <f t="shared" si="20"/>
        <v>3.9040593721303276</v>
      </c>
      <c r="R274" s="28">
        <f t="shared" si="19"/>
        <v>84.982186552371246</v>
      </c>
      <c r="S274" s="28">
        <f t="shared" si="19"/>
        <v>80.248940693749219</v>
      </c>
      <c r="T274" s="28">
        <f t="shared" si="19"/>
        <v>90.12460159917687</v>
      </c>
    </row>
    <row r="275" spans="1:20" x14ac:dyDescent="0.2">
      <c r="A275" s="44">
        <v>44743</v>
      </c>
      <c r="B275" s="1">
        <v>13.12472889</v>
      </c>
      <c r="C275" s="1">
        <v>6.5</v>
      </c>
      <c r="D275" s="1">
        <v>9.5024999999999995</v>
      </c>
      <c r="E275" s="18">
        <f t="shared" si="15"/>
        <v>11.542805270000001</v>
      </c>
      <c r="F275" s="18">
        <f>AVERAGE($B$4:B273)</f>
        <v>3.3054416228565664</v>
      </c>
      <c r="G275" s="18">
        <f t="shared" si="16"/>
        <v>3.7287559513600015</v>
      </c>
      <c r="H275" s="19">
        <v>3</v>
      </c>
      <c r="I275" s="30">
        <f t="shared" si="17"/>
        <v>6.6247288900000001</v>
      </c>
      <c r="J275" s="30">
        <f t="shared" si="18"/>
        <v>3.6222288900000006</v>
      </c>
      <c r="K275" s="30">
        <f t="shared" si="11"/>
        <v>1.5819236199999995</v>
      </c>
      <c r="L275" s="30">
        <f t="shared" si="12"/>
        <v>9.8192872671434337</v>
      </c>
      <c r="M275" s="30">
        <f t="shared" si="13"/>
        <v>9.3959729386399982</v>
      </c>
      <c r="N275" s="30">
        <f t="shared" si="14"/>
        <v>10.12472889</v>
      </c>
      <c r="O275" s="28">
        <f t="shared" si="20"/>
        <v>43.887032866000631</v>
      </c>
      <c r="P275" s="28">
        <f t="shared" si="20"/>
        <v>13.120542131550636</v>
      </c>
      <c r="Q275" s="28">
        <f t="shared" si="20"/>
        <v>2.5024823395139029</v>
      </c>
      <c r="R275" s="28">
        <f t="shared" si="19"/>
        <v>96.418402434685163</v>
      </c>
      <c r="S275" s="28">
        <f t="shared" si="19"/>
        <v>88.284307463655168</v>
      </c>
      <c r="T275" s="28">
        <f t="shared" si="19"/>
        <v>102.51013509600064</v>
      </c>
    </row>
    <row r="276" spans="1:20" x14ac:dyDescent="0.2">
      <c r="A276" s="44">
        <v>44774</v>
      </c>
      <c r="B276" s="1">
        <v>14.08466187</v>
      </c>
      <c r="C276" s="1">
        <v>7.1</v>
      </c>
      <c r="D276" s="1">
        <v>10.1110236220473</v>
      </c>
      <c r="E276" s="18">
        <f t="shared" si="15"/>
        <v>12.49339779</v>
      </c>
      <c r="F276" s="18">
        <f>AVERAGE($B$4:B274)</f>
        <v>3.3393455201522984</v>
      </c>
      <c r="G276" s="18">
        <f t="shared" si="16"/>
        <v>3.9407307091800008</v>
      </c>
      <c r="H276" s="19">
        <v>3</v>
      </c>
      <c r="I276" s="30">
        <f t="shared" si="17"/>
        <v>6.9846618700000001</v>
      </c>
      <c r="J276" s="30">
        <f t="shared" si="18"/>
        <v>3.9736382479526995</v>
      </c>
      <c r="K276" s="30">
        <f t="shared" ref="K276:K307" si="21">B276-E276</f>
        <v>1.5912640800000002</v>
      </c>
      <c r="L276" s="30">
        <f t="shared" ref="L276:L307" si="22">B276-F276</f>
        <v>10.745316349847702</v>
      </c>
      <c r="M276" s="30">
        <f t="shared" ref="M276:M307" si="23">B276-G276</f>
        <v>10.143931160819999</v>
      </c>
      <c r="N276" s="30">
        <f t="shared" si="14"/>
        <v>11.08466187</v>
      </c>
      <c r="O276" s="28">
        <f t="shared" si="20"/>
        <v>48.785501438231897</v>
      </c>
      <c r="P276" s="28">
        <f t="shared" si="20"/>
        <v>15.7898009255926</v>
      </c>
      <c r="Q276" s="28">
        <f t="shared" si="20"/>
        <v>2.532121372298247</v>
      </c>
      <c r="R276" s="28">
        <f t="shared" si="19"/>
        <v>115.46182345830434</v>
      </c>
      <c r="S276" s="28">
        <f t="shared" si="19"/>
        <v>102.89933939545497</v>
      </c>
      <c r="T276" s="28">
        <f t="shared" si="19"/>
        <v>122.86972877223189</v>
      </c>
    </row>
    <row r="277" spans="1:20" x14ac:dyDescent="0.2">
      <c r="A277" s="44">
        <v>44805</v>
      </c>
      <c r="B277" s="1">
        <v>13.731331709999999</v>
      </c>
      <c r="C277" s="1">
        <v>7.3</v>
      </c>
      <c r="D277" s="1">
        <v>10.659523809523799</v>
      </c>
      <c r="E277" s="18">
        <f t="shared" si="15"/>
        <v>13.12472889</v>
      </c>
      <c r="F277" s="18">
        <f>AVERAGE($B$4:B275)</f>
        <v>3.3753211943061503</v>
      </c>
      <c r="G277" s="18">
        <f t="shared" si="16"/>
        <v>4.1626525717400007</v>
      </c>
      <c r="H277" s="19">
        <v>3</v>
      </c>
      <c r="I277" s="30">
        <f t="shared" si="17"/>
        <v>6.4313317099999994</v>
      </c>
      <c r="J277" s="30">
        <f t="shared" si="18"/>
        <v>3.0718079004762</v>
      </c>
      <c r="K277" s="30">
        <f t="shared" si="21"/>
        <v>0.6066028199999991</v>
      </c>
      <c r="L277" s="30">
        <f t="shared" si="22"/>
        <v>10.35601051569385</v>
      </c>
      <c r="M277" s="30">
        <f t="shared" si="23"/>
        <v>9.5686791382599985</v>
      </c>
      <c r="N277" s="30">
        <f t="shared" ref="N277:N307" si="24">B277-H277</f>
        <v>10.731331709999999</v>
      </c>
      <c r="O277" s="28">
        <f t="shared" si="20"/>
        <v>41.362027564051516</v>
      </c>
      <c r="P277" s="28">
        <f t="shared" si="20"/>
        <v>9.4360037774280006</v>
      </c>
      <c r="Q277" s="28">
        <f t="shared" si="20"/>
        <v>0.36796698123195132</v>
      </c>
      <c r="R277" s="28">
        <f t="shared" si="19"/>
        <v>107.2469538011616</v>
      </c>
      <c r="S277" s="28">
        <f t="shared" si="19"/>
        <v>91.559620450972105</v>
      </c>
      <c r="T277" s="28">
        <f t="shared" si="19"/>
        <v>115.16148027005151</v>
      </c>
    </row>
    <row r="278" spans="1:20" x14ac:dyDescent="0.2">
      <c r="A278" s="44">
        <v>44835</v>
      </c>
      <c r="B278" s="1">
        <v>12.80663704</v>
      </c>
      <c r="C278" s="1">
        <v>7</v>
      </c>
      <c r="D278" s="1">
        <v>10.65</v>
      </c>
      <c r="E278" s="18">
        <f t="shared" ref="E278:E307" si="25">B276</f>
        <v>14.08466187</v>
      </c>
      <c r="F278" s="18">
        <f>AVERAGE($B$4:B276)</f>
        <v>3.4145495484295711</v>
      </c>
      <c r="G278" s="18">
        <f t="shared" ref="G278:G307" si="26">AVERAGE(B227:B276)</f>
        <v>4.3939023860800006</v>
      </c>
      <c r="H278" s="19">
        <v>3</v>
      </c>
      <c r="I278" s="30">
        <f t="shared" ref="I278:I307" si="27">B278-C278</f>
        <v>5.80663704</v>
      </c>
      <c r="J278" s="30">
        <f t="shared" ref="J278:J307" si="28">B278-D278</f>
        <v>2.1566370399999997</v>
      </c>
      <c r="K278" s="30">
        <f t="shared" si="21"/>
        <v>-1.2780248299999997</v>
      </c>
      <c r="L278" s="30">
        <f t="shared" si="22"/>
        <v>9.3920874915704289</v>
      </c>
      <c r="M278" s="30">
        <f t="shared" si="23"/>
        <v>8.4127346539199994</v>
      </c>
      <c r="N278" s="30">
        <f t="shared" si="24"/>
        <v>9.80663704</v>
      </c>
      <c r="O278" s="28">
        <f t="shared" si="20"/>
        <v>33.717033714299959</v>
      </c>
      <c r="P278" s="28">
        <f t="shared" si="20"/>
        <v>4.6510833222999599</v>
      </c>
      <c r="Q278" s="28">
        <f t="shared" si="20"/>
        <v>1.6333474660965281</v>
      </c>
      <c r="R278" s="28">
        <f t="shared" si="19"/>
        <v>88.211307449313708</v>
      </c>
      <c r="S278" s="28">
        <f t="shared" si="19"/>
        <v>70.774104357266452</v>
      </c>
      <c r="T278" s="28">
        <f t="shared" si="19"/>
        <v>96.170130034299959</v>
      </c>
    </row>
    <row r="279" spans="1:20" x14ac:dyDescent="0.2">
      <c r="A279" s="44">
        <v>44866</v>
      </c>
      <c r="B279" s="1">
        <v>13.341456859999999</v>
      </c>
      <c r="C279" s="1">
        <v>6.3</v>
      </c>
      <c r="D279" s="1">
        <v>10.2695652173913</v>
      </c>
      <c r="E279" s="18">
        <f t="shared" si="25"/>
        <v>13.731331709999999</v>
      </c>
      <c r="F279" s="18">
        <f>AVERAGE($B$4:B277)</f>
        <v>3.4522020380703391</v>
      </c>
      <c r="G279" s="18">
        <f t="shared" si="26"/>
        <v>4.6163690686200001</v>
      </c>
      <c r="H279" s="19">
        <v>3</v>
      </c>
      <c r="I279" s="30">
        <f t="shared" si="27"/>
        <v>7.0414568599999994</v>
      </c>
      <c r="J279" s="30">
        <f t="shared" si="28"/>
        <v>3.0718916426086995</v>
      </c>
      <c r="K279" s="30">
        <f t="shared" si="21"/>
        <v>-0.38987485</v>
      </c>
      <c r="L279" s="30">
        <f t="shared" si="22"/>
        <v>9.8892548219296597</v>
      </c>
      <c r="M279" s="30">
        <f t="shared" si="23"/>
        <v>8.7250877913799982</v>
      </c>
      <c r="N279" s="30">
        <f t="shared" si="24"/>
        <v>10.341456859999999</v>
      </c>
      <c r="O279" s="28">
        <f t="shared" si="20"/>
        <v>49.582114711241054</v>
      </c>
      <c r="P279" s="28">
        <f t="shared" si="20"/>
        <v>9.4365182639291749</v>
      </c>
      <c r="Q279" s="28">
        <f t="shared" si="20"/>
        <v>0.15200239866252249</v>
      </c>
      <c r="R279" s="28">
        <f t="shared" si="19"/>
        <v>97.797360933059025</v>
      </c>
      <c r="S279" s="28">
        <f t="shared" si="19"/>
        <v>76.1271569672883</v>
      </c>
      <c r="T279" s="28">
        <f t="shared" si="19"/>
        <v>106.94572998724104</v>
      </c>
    </row>
    <row r="280" spans="1:20" x14ac:dyDescent="0.2">
      <c r="A280" s="44">
        <v>44896</v>
      </c>
      <c r="B280" s="1">
        <v>12.78165415</v>
      </c>
      <c r="C280" s="1">
        <v>5.8</v>
      </c>
      <c r="D280" s="1">
        <v>10.011839999999999</v>
      </c>
      <c r="E280" s="18">
        <f t="shared" si="25"/>
        <v>12.80663704</v>
      </c>
      <c r="F280" s="18">
        <f>AVERAGE($B$4:B278)</f>
        <v>3.4862181653500834</v>
      </c>
      <c r="G280" s="18">
        <f t="shared" si="26"/>
        <v>4.8227505769200008</v>
      </c>
      <c r="H280" s="19">
        <v>3</v>
      </c>
      <c r="I280" s="30">
        <f t="shared" si="27"/>
        <v>6.9816541499999998</v>
      </c>
      <c r="J280" s="30">
        <f t="shared" si="28"/>
        <v>2.7698141500000002</v>
      </c>
      <c r="K280" s="30">
        <f t="shared" si="21"/>
        <v>-2.4982890000000424E-2</v>
      </c>
      <c r="L280" s="30">
        <f t="shared" si="22"/>
        <v>9.2954359846499166</v>
      </c>
      <c r="M280" s="30">
        <f t="shared" si="23"/>
        <v>7.9589035730799988</v>
      </c>
      <c r="N280" s="30">
        <f t="shared" si="24"/>
        <v>9.7816541499999996</v>
      </c>
      <c r="O280" s="28">
        <f t="shared" si="20"/>
        <v>48.743494670212222</v>
      </c>
      <c r="P280" s="28">
        <f t="shared" si="20"/>
        <v>7.6718704255402237</v>
      </c>
      <c r="Q280" s="28">
        <f t="shared" si="20"/>
        <v>6.241447927521212E-4</v>
      </c>
      <c r="R280" s="28">
        <f t="shared" si="19"/>
        <v>86.405130144724566</v>
      </c>
      <c r="S280" s="28">
        <f t="shared" si="19"/>
        <v>63.344146085585571</v>
      </c>
      <c r="T280" s="28">
        <f t="shared" si="19"/>
        <v>95.680757910212208</v>
      </c>
    </row>
    <row r="281" spans="1:20" x14ac:dyDescent="0.2">
      <c r="A281" s="44">
        <v>44927</v>
      </c>
      <c r="B281" s="1">
        <v>12.34033586</v>
      </c>
      <c r="C281" s="1">
        <v>5.3</v>
      </c>
      <c r="D281" s="1">
        <v>9.2612068965517196</v>
      </c>
      <c r="E281" s="18">
        <f t="shared" si="25"/>
        <v>13.341456859999999</v>
      </c>
      <c r="F281" s="18">
        <f>AVERAGE($B$4:B279)</f>
        <v>3.5219255519249018</v>
      </c>
      <c r="G281" s="18">
        <f t="shared" si="26"/>
        <v>5.03258551466</v>
      </c>
      <c r="H281" s="19">
        <v>3</v>
      </c>
      <c r="I281" s="30">
        <f t="shared" si="27"/>
        <v>7.0403358599999999</v>
      </c>
      <c r="J281" s="30">
        <f t="shared" si="28"/>
        <v>3.0791289634482801</v>
      </c>
      <c r="K281" s="30">
        <f t="shared" si="21"/>
        <v>-1.0011209999999995</v>
      </c>
      <c r="L281" s="30">
        <f t="shared" si="22"/>
        <v>8.818410308075098</v>
      </c>
      <c r="M281" s="30">
        <f t="shared" si="23"/>
        <v>7.3077503453399997</v>
      </c>
      <c r="N281" s="30">
        <f t="shared" si="24"/>
        <v>9.3403358599999997</v>
      </c>
      <c r="O281" s="28">
        <f t="shared" si="20"/>
        <v>49.566329021601938</v>
      </c>
      <c r="P281" s="28">
        <f t="shared" si="20"/>
        <v>9.4810351735460792</v>
      </c>
      <c r="Q281" s="28">
        <f t="shared" si="20"/>
        <v>1.0022432566409989</v>
      </c>
      <c r="R281" s="28">
        <f t="shared" si="19"/>
        <v>77.764360361565139</v>
      </c>
      <c r="S281" s="28">
        <f t="shared" si="19"/>
        <v>53.403215109816884</v>
      </c>
      <c r="T281" s="28">
        <f t="shared" si="19"/>
        <v>87.241873977601941</v>
      </c>
    </row>
    <row r="282" spans="1:20" x14ac:dyDescent="0.2">
      <c r="A282" s="44">
        <v>44958</v>
      </c>
      <c r="B282" s="1">
        <v>12.31319042</v>
      </c>
      <c r="C282" s="1">
        <v>5</v>
      </c>
      <c r="D282" s="1">
        <v>8.3818965517241395</v>
      </c>
      <c r="E282" s="18">
        <f t="shared" si="25"/>
        <v>12.78165415</v>
      </c>
      <c r="F282" s="18">
        <f>AVERAGE($B$4:B280)</f>
        <v>3.5553541750226461</v>
      </c>
      <c r="G282" s="18">
        <f t="shared" si="26"/>
        <v>5.2351241691000006</v>
      </c>
      <c r="H282" s="19">
        <v>3</v>
      </c>
      <c r="I282" s="30">
        <f t="shared" si="27"/>
        <v>7.3131904199999997</v>
      </c>
      <c r="J282" s="30">
        <f t="shared" si="28"/>
        <v>3.9312938682758602</v>
      </c>
      <c r="K282" s="30">
        <f t="shared" si="21"/>
        <v>-0.46846372999999986</v>
      </c>
      <c r="L282" s="30">
        <f t="shared" si="22"/>
        <v>8.7578362449773532</v>
      </c>
      <c r="M282" s="30">
        <f t="shared" si="23"/>
        <v>7.0780662508999992</v>
      </c>
      <c r="N282" s="30">
        <f t="shared" si="24"/>
        <v>9.3131904199999997</v>
      </c>
      <c r="O282" s="28">
        <f t="shared" si="20"/>
        <v>53.482754119179774</v>
      </c>
      <c r="P282" s="28">
        <f t="shared" si="20"/>
        <v>15.455071478743378</v>
      </c>
      <c r="Q282" s="28">
        <f t="shared" si="20"/>
        <v>0.21945826632551277</v>
      </c>
      <c r="R282" s="28">
        <f t="shared" si="19"/>
        <v>76.699695693839033</v>
      </c>
      <c r="S282" s="28">
        <f t="shared" si="19"/>
        <v>50.099021852129567</v>
      </c>
      <c r="T282" s="28">
        <f t="shared" si="19"/>
        <v>86.735515799179765</v>
      </c>
    </row>
    <row r="283" spans="1:20" x14ac:dyDescent="0.2">
      <c r="A283" s="44">
        <v>44986</v>
      </c>
      <c r="B283" s="1">
        <v>11.06821175</v>
      </c>
      <c r="C283" s="1">
        <v>5</v>
      </c>
      <c r="D283" s="1">
        <v>8.00948275862069</v>
      </c>
      <c r="E283" s="18">
        <f t="shared" si="25"/>
        <v>12.34033586</v>
      </c>
      <c r="F283" s="18">
        <f>AVERAGE($B$4:B281)</f>
        <v>3.5869548285657298</v>
      </c>
      <c r="G283" s="18">
        <f t="shared" si="26"/>
        <v>5.4323016202599987</v>
      </c>
      <c r="H283" s="19">
        <v>3</v>
      </c>
      <c r="I283" s="30">
        <f t="shared" si="27"/>
        <v>6.0682117499999997</v>
      </c>
      <c r="J283" s="30">
        <f t="shared" si="28"/>
        <v>3.0587289913793096</v>
      </c>
      <c r="K283" s="30">
        <f t="shared" si="21"/>
        <v>-1.27212411</v>
      </c>
      <c r="L283" s="30">
        <f t="shared" si="22"/>
        <v>7.4812569214342695</v>
      </c>
      <c r="M283" s="30">
        <f t="shared" si="23"/>
        <v>5.6359101297400009</v>
      </c>
      <c r="N283" s="30">
        <f t="shared" si="24"/>
        <v>8.0682117499999997</v>
      </c>
      <c r="O283" s="28">
        <f t="shared" si="20"/>
        <v>36.823193842838059</v>
      </c>
      <c r="P283" s="28">
        <f t="shared" si="20"/>
        <v>9.355823042704289</v>
      </c>
      <c r="Q283" s="28">
        <f t="shared" si="20"/>
        <v>1.6182997512432922</v>
      </c>
      <c r="R283" s="28">
        <f t="shared" si="19"/>
        <v>55.969205124508164</v>
      </c>
      <c r="S283" s="28">
        <f t="shared" si="19"/>
        <v>31.763482990505953</v>
      </c>
      <c r="T283" s="28">
        <f t="shared" si="19"/>
        <v>65.09604084283805</v>
      </c>
    </row>
    <row r="284" spans="1:20" x14ac:dyDescent="0.2">
      <c r="A284" s="44">
        <v>45017</v>
      </c>
      <c r="B284" s="1">
        <v>9.8243362600000008</v>
      </c>
      <c r="C284" s="1">
        <v>4.8</v>
      </c>
      <c r="D284" s="1">
        <v>7.87235772357724</v>
      </c>
      <c r="E284" s="18">
        <f t="shared" si="25"/>
        <v>12.31319042</v>
      </c>
      <c r="F284" s="18">
        <f>AVERAGE($B$4:B282)</f>
        <v>3.6182316586425549</v>
      </c>
      <c r="G284" s="18">
        <f t="shared" si="26"/>
        <v>5.6357456970599991</v>
      </c>
      <c r="H284" s="19">
        <v>3</v>
      </c>
      <c r="I284" s="30">
        <f t="shared" si="27"/>
        <v>5.024336260000001</v>
      </c>
      <c r="J284" s="30">
        <f t="shared" si="28"/>
        <v>1.9519785364227609</v>
      </c>
      <c r="K284" s="30">
        <f t="shared" si="21"/>
        <v>-2.4888541599999989</v>
      </c>
      <c r="L284" s="30">
        <f t="shared" si="22"/>
        <v>6.2061046013574455</v>
      </c>
      <c r="M284" s="30">
        <f t="shared" si="23"/>
        <v>4.1885905629400018</v>
      </c>
      <c r="N284" s="30">
        <f t="shared" si="24"/>
        <v>6.8243362600000008</v>
      </c>
      <c r="O284" s="28">
        <f t="shared" si="20"/>
        <v>25.243954853550797</v>
      </c>
      <c r="P284" s="28">
        <f t="shared" si="20"/>
        <v>3.8102202066551434</v>
      </c>
      <c r="Q284" s="28">
        <f t="shared" si="20"/>
        <v>6.1943950297493</v>
      </c>
      <c r="R284" s="28">
        <f t="shared" si="19"/>
        <v>38.515734322990056</v>
      </c>
      <c r="S284" s="28">
        <f t="shared" si="19"/>
        <v>17.544290903950042</v>
      </c>
      <c r="T284" s="28">
        <f t="shared" si="19"/>
        <v>46.571565389550798</v>
      </c>
    </row>
    <row r="285" spans="1:20" x14ac:dyDescent="0.2">
      <c r="A285" s="44">
        <v>45047</v>
      </c>
      <c r="B285" s="1">
        <v>8.8722330879999998</v>
      </c>
      <c r="C285" s="1">
        <v>4.5</v>
      </c>
      <c r="D285" s="1">
        <v>7.8264150943396196</v>
      </c>
      <c r="E285" s="18">
        <f t="shared" si="25"/>
        <v>11.06821175</v>
      </c>
      <c r="F285" s="18">
        <f>AVERAGE($B$4:B283)</f>
        <v>3.644838730397403</v>
      </c>
      <c r="G285" s="18">
        <f t="shared" si="26"/>
        <v>5.8213981028199999</v>
      </c>
      <c r="H285" s="19">
        <v>3</v>
      </c>
      <c r="I285" s="30">
        <f t="shared" si="27"/>
        <v>4.3722330879999998</v>
      </c>
      <c r="J285" s="30">
        <f t="shared" si="28"/>
        <v>1.0458179936603802</v>
      </c>
      <c r="K285" s="30">
        <f t="shared" si="21"/>
        <v>-2.1959786619999999</v>
      </c>
      <c r="L285" s="30">
        <f t="shared" si="22"/>
        <v>5.2273943576025967</v>
      </c>
      <c r="M285" s="30">
        <f t="shared" si="23"/>
        <v>3.0508349851799998</v>
      </c>
      <c r="N285" s="30">
        <f t="shared" si="24"/>
        <v>5.8722330879999998</v>
      </c>
      <c r="O285" s="28">
        <f t="shared" si="20"/>
        <v>19.116422175802015</v>
      </c>
      <c r="P285" s="28">
        <f t="shared" si="20"/>
        <v>1.093735275863823</v>
      </c>
      <c r="Q285" s="28">
        <f t="shared" si="20"/>
        <v>4.8223222839593101</v>
      </c>
      <c r="R285" s="28">
        <f t="shared" si="19"/>
        <v>27.325651769895465</v>
      </c>
      <c r="S285" s="28">
        <f t="shared" si="19"/>
        <v>9.3075941067982502</v>
      </c>
      <c r="T285" s="28">
        <f t="shared" si="19"/>
        <v>34.483121439802012</v>
      </c>
    </row>
    <row r="286" spans="1:20" x14ac:dyDescent="0.2">
      <c r="A286" s="44">
        <v>45078</v>
      </c>
      <c r="B286" s="1">
        <v>7.4005333689999997</v>
      </c>
      <c r="C286" s="1">
        <v>4.3</v>
      </c>
      <c r="D286" s="1">
        <v>7.4347457627118603</v>
      </c>
      <c r="E286" s="18">
        <f t="shared" si="25"/>
        <v>9.8243362600000008</v>
      </c>
      <c r="F286" s="18">
        <f>AVERAGE($B$4:B284)</f>
        <v>3.6668298248088007</v>
      </c>
      <c r="G286" s="18">
        <f t="shared" si="26"/>
        <v>5.9833424488999993</v>
      </c>
      <c r="H286" s="19">
        <v>3</v>
      </c>
      <c r="I286" s="30">
        <f t="shared" si="27"/>
        <v>3.1005333689999999</v>
      </c>
      <c r="J286" s="30">
        <f t="shared" si="28"/>
        <v>-3.4212393711860578E-2</v>
      </c>
      <c r="K286" s="30">
        <f t="shared" si="21"/>
        <v>-2.4238028910000011</v>
      </c>
      <c r="L286" s="30">
        <f t="shared" si="22"/>
        <v>3.733703544191199</v>
      </c>
      <c r="M286" s="30">
        <f t="shared" si="23"/>
        <v>1.4171909201000004</v>
      </c>
      <c r="N286" s="30">
        <f t="shared" si="24"/>
        <v>4.4005333689999997</v>
      </c>
      <c r="O286" s="28">
        <f t="shared" si="20"/>
        <v>9.6133071722824894</v>
      </c>
      <c r="P286" s="28">
        <f t="shared" si="20"/>
        <v>1.1704878834953572E-3</v>
      </c>
      <c r="Q286" s="28">
        <f t="shared" si="20"/>
        <v>5.8748204544199636</v>
      </c>
      <c r="R286" s="28">
        <f t="shared" si="19"/>
        <v>13.94054215590592</v>
      </c>
      <c r="S286" s="28">
        <f t="shared" si="19"/>
        <v>2.0084301040138857</v>
      </c>
      <c r="T286" s="28">
        <f t="shared" si="19"/>
        <v>19.364693931682488</v>
      </c>
    </row>
    <row r="287" spans="1:20" x14ac:dyDescent="0.2">
      <c r="A287" s="44">
        <v>45108</v>
      </c>
      <c r="B287" s="1">
        <v>6.0706596130000001</v>
      </c>
      <c r="C287" s="1">
        <v>4</v>
      </c>
      <c r="D287" s="1">
        <v>7.2504587155963298</v>
      </c>
      <c r="E287" s="18">
        <f t="shared" si="25"/>
        <v>8.8722330879999998</v>
      </c>
      <c r="F287" s="18">
        <f>AVERAGE($B$4:B285)</f>
        <v>3.685288701628628</v>
      </c>
      <c r="G287" s="18">
        <f t="shared" si="26"/>
        <v>6.1206952639000001</v>
      </c>
      <c r="H287" s="19">
        <v>3</v>
      </c>
      <c r="I287" s="30">
        <f t="shared" si="27"/>
        <v>2.0706596130000001</v>
      </c>
      <c r="J287" s="30">
        <f t="shared" si="28"/>
        <v>-1.1797991025963297</v>
      </c>
      <c r="K287" s="30">
        <f t="shared" si="21"/>
        <v>-2.8015734749999996</v>
      </c>
      <c r="L287" s="30">
        <f t="shared" si="22"/>
        <v>2.3853709113713721</v>
      </c>
      <c r="M287" s="30">
        <f t="shared" si="23"/>
        <v>-5.0035650899999951E-2</v>
      </c>
      <c r="N287" s="30">
        <f t="shared" si="24"/>
        <v>3.0706596130000001</v>
      </c>
      <c r="O287" s="28">
        <f t="shared" si="20"/>
        <v>4.2876312329093107</v>
      </c>
      <c r="P287" s="28">
        <f t="shared" si="20"/>
        <v>1.3919259224871048</v>
      </c>
      <c r="Q287" s="28">
        <f t="shared" si="20"/>
        <v>7.848813935823574</v>
      </c>
      <c r="R287" s="28">
        <f t="shared" si="19"/>
        <v>5.689994384816691</v>
      </c>
      <c r="S287" s="28">
        <f t="shared" si="19"/>
        <v>2.5035663609866659E-3</v>
      </c>
      <c r="T287" s="28">
        <f t="shared" si="19"/>
        <v>9.4289504589093109</v>
      </c>
    </row>
    <row r="288" spans="1:20" x14ac:dyDescent="0.2">
      <c r="A288" s="44">
        <v>45139</v>
      </c>
      <c r="B288" s="1">
        <v>4.9251310549999996</v>
      </c>
      <c r="C288" s="1">
        <v>3.5</v>
      </c>
      <c r="D288" s="1">
        <v>6.8078431372549</v>
      </c>
      <c r="E288" s="18">
        <f t="shared" si="25"/>
        <v>7.4005333689999997</v>
      </c>
      <c r="F288" s="18">
        <f>AVERAGE($B$4:B286)</f>
        <v>3.6984167746582086</v>
      </c>
      <c r="G288" s="18">
        <f t="shared" si="26"/>
        <v>6.2287561244400003</v>
      </c>
      <c r="H288" s="19">
        <v>3</v>
      </c>
      <c r="I288" s="30">
        <f t="shared" si="27"/>
        <v>1.4251310549999996</v>
      </c>
      <c r="J288" s="30">
        <f t="shared" si="28"/>
        <v>-1.8827120822549004</v>
      </c>
      <c r="K288" s="30">
        <f t="shared" si="21"/>
        <v>-2.4754023140000001</v>
      </c>
      <c r="L288" s="30">
        <f t="shared" si="22"/>
        <v>1.226714280341791</v>
      </c>
      <c r="M288" s="30">
        <f t="shared" si="23"/>
        <v>-1.3036250694400007</v>
      </c>
      <c r="N288" s="30">
        <f t="shared" si="24"/>
        <v>1.9251310549999996</v>
      </c>
      <c r="O288" s="28">
        <f t="shared" si="20"/>
        <v>2.0309985239254118</v>
      </c>
      <c r="P288" s="28">
        <f t="shared" si="20"/>
        <v>3.5446047846685826</v>
      </c>
      <c r="Q288" s="28">
        <f t="shared" si="20"/>
        <v>6.1276166161565548</v>
      </c>
      <c r="R288" s="28">
        <f t="shared" si="19"/>
        <v>1.5048279255944781</v>
      </c>
      <c r="S288" s="28">
        <f t="shared" si="19"/>
        <v>1.6994383216724467</v>
      </c>
      <c r="T288" s="28">
        <f t="shared" si="19"/>
        <v>3.7061295789254114</v>
      </c>
    </row>
    <row r="289" spans="1:20" x14ac:dyDescent="0.2">
      <c r="A289" s="44">
        <v>45170</v>
      </c>
      <c r="B289" s="1">
        <v>4.6869637590000002</v>
      </c>
      <c r="C289" s="1">
        <v>3.5</v>
      </c>
      <c r="D289" s="1">
        <v>6.2148148148148099</v>
      </c>
      <c r="E289" s="18">
        <f t="shared" si="25"/>
        <v>6.0706596130000001</v>
      </c>
      <c r="F289" s="18">
        <f>AVERAGE($B$4:B287)</f>
        <v>3.706769742398849</v>
      </c>
      <c r="G289" s="18">
        <f t="shared" si="26"/>
        <v>6.3031812267199987</v>
      </c>
      <c r="H289" s="19">
        <v>3</v>
      </c>
      <c r="I289" s="30">
        <f t="shared" si="27"/>
        <v>1.1869637590000002</v>
      </c>
      <c r="J289" s="30">
        <f t="shared" si="28"/>
        <v>-1.5278510558148097</v>
      </c>
      <c r="K289" s="30">
        <f t="shared" si="21"/>
        <v>-1.3836958539999999</v>
      </c>
      <c r="L289" s="30">
        <f t="shared" si="22"/>
        <v>0.98019401660115113</v>
      </c>
      <c r="M289" s="30">
        <f t="shared" si="23"/>
        <v>-1.6162174677199985</v>
      </c>
      <c r="N289" s="30">
        <f t="shared" si="24"/>
        <v>1.6869637590000002</v>
      </c>
      <c r="O289" s="28">
        <f t="shared" si="20"/>
        <v>1.4088829651794106</v>
      </c>
      <c r="P289" s="28">
        <f t="shared" si="20"/>
        <v>2.3343288487544287</v>
      </c>
      <c r="Q289" s="28">
        <f t="shared" si="20"/>
        <v>1.9146142163767892</v>
      </c>
      <c r="R289" s="28">
        <f t="shared" si="19"/>
        <v>0.96078031018069776</v>
      </c>
      <c r="S289" s="28">
        <f t="shared" si="19"/>
        <v>2.6121589029632446</v>
      </c>
      <c r="T289" s="28">
        <f t="shared" si="19"/>
        <v>2.8458467241794105</v>
      </c>
    </row>
    <row r="290" spans="1:20" x14ac:dyDescent="0.2">
      <c r="A290" s="44">
        <v>45200</v>
      </c>
      <c r="B290" s="1">
        <v>4.4535305410000001</v>
      </c>
      <c r="C290" s="1">
        <v>3.5</v>
      </c>
      <c r="D290" s="1">
        <v>6.0718181818181796</v>
      </c>
      <c r="E290" s="18">
        <f t="shared" si="25"/>
        <v>4.9251310549999996</v>
      </c>
      <c r="F290" s="18">
        <f>AVERAGE($B$4:B288)</f>
        <v>3.7110446943728883</v>
      </c>
      <c r="G290" s="18">
        <f t="shared" si="26"/>
        <v>6.3555797689199993</v>
      </c>
      <c r="H290" s="19">
        <v>3</v>
      </c>
      <c r="I290" s="30">
        <f t="shared" si="27"/>
        <v>0.95353054100000012</v>
      </c>
      <c r="J290" s="30">
        <f t="shared" si="28"/>
        <v>-1.6182876408181794</v>
      </c>
      <c r="K290" s="30">
        <f t="shared" si="21"/>
        <v>-0.47160051399999947</v>
      </c>
      <c r="L290" s="30">
        <f t="shared" si="22"/>
        <v>0.74248584662711181</v>
      </c>
      <c r="M290" s="30">
        <f t="shared" si="23"/>
        <v>-1.9020492279199992</v>
      </c>
      <c r="N290" s="30">
        <f t="shared" si="24"/>
        <v>1.4535305410000001</v>
      </c>
      <c r="O290" s="28">
        <f t="shared" si="20"/>
        <v>0.90922049261975291</v>
      </c>
      <c r="P290" s="28">
        <f t="shared" si="20"/>
        <v>2.618854888424869</v>
      </c>
      <c r="Q290" s="28">
        <f t="shared" si="20"/>
        <v>0.22240704480506371</v>
      </c>
      <c r="R290" s="28">
        <f t="shared" si="19"/>
        <v>0.55128523244157901</v>
      </c>
      <c r="S290" s="28">
        <f t="shared" si="19"/>
        <v>3.6177912654310651</v>
      </c>
      <c r="T290" s="28">
        <f t="shared" si="19"/>
        <v>2.112751033619753</v>
      </c>
    </row>
    <row r="291" spans="1:20" x14ac:dyDescent="0.2">
      <c r="A291" s="44">
        <v>45231</v>
      </c>
      <c r="B291" s="1">
        <v>4.2156180509999999</v>
      </c>
      <c r="C291" s="1">
        <v>3.4</v>
      </c>
      <c r="D291" s="1">
        <v>5.49189189189189</v>
      </c>
      <c r="E291" s="18">
        <f t="shared" si="25"/>
        <v>4.6869637590000002</v>
      </c>
      <c r="F291" s="18">
        <f>AVERAGE($B$4:B289)</f>
        <v>3.7144569987946614</v>
      </c>
      <c r="G291" s="18">
        <f t="shared" si="26"/>
        <v>6.4052835776799988</v>
      </c>
      <c r="H291" s="19">
        <v>3</v>
      </c>
      <c r="I291" s="30">
        <f t="shared" si="27"/>
        <v>0.81561805099999996</v>
      </c>
      <c r="J291" s="30">
        <f t="shared" si="28"/>
        <v>-1.2762738408918901</v>
      </c>
      <c r="K291" s="30">
        <f t="shared" si="21"/>
        <v>-0.47134570800000031</v>
      </c>
      <c r="L291" s="30">
        <f t="shared" si="22"/>
        <v>0.50116105220533846</v>
      </c>
      <c r="M291" s="30">
        <f t="shared" si="23"/>
        <v>-2.1896655266799989</v>
      </c>
      <c r="N291" s="30">
        <f t="shared" si="24"/>
        <v>1.2156180509999999</v>
      </c>
      <c r="O291" s="28">
        <f t="shared" si="20"/>
        <v>0.66523280511703853</v>
      </c>
      <c r="P291" s="28">
        <f t="shared" si="20"/>
        <v>1.6288749169449377</v>
      </c>
      <c r="Q291" s="28">
        <f t="shared" si="20"/>
        <v>0.22216677645002156</v>
      </c>
      <c r="R291" s="28">
        <f t="shared" si="19"/>
        <v>0.25116240024756198</v>
      </c>
      <c r="S291" s="28">
        <f t="shared" si="19"/>
        <v>4.7946351187307972</v>
      </c>
      <c r="T291" s="28">
        <f t="shared" si="19"/>
        <v>1.4777272459170383</v>
      </c>
    </row>
    <row r="292" spans="1:20" x14ac:dyDescent="0.2">
      <c r="A292" s="44">
        <v>45261</v>
      </c>
      <c r="B292" s="1">
        <v>3.37450056</v>
      </c>
      <c r="C292" s="1">
        <v>3.3</v>
      </c>
      <c r="D292" s="1">
        <v>5.3509090909090897</v>
      </c>
      <c r="E292" s="18">
        <f t="shared" si="25"/>
        <v>4.4535305410000001</v>
      </c>
      <c r="F292" s="18">
        <f>AVERAGE($B$4:B290)</f>
        <v>3.7170321679312655</v>
      </c>
      <c r="G292" s="18">
        <f t="shared" si="26"/>
        <v>6.4482214753399987</v>
      </c>
      <c r="H292" s="19">
        <v>3</v>
      </c>
      <c r="I292" s="30">
        <f t="shared" si="27"/>
        <v>7.450056000000016E-2</v>
      </c>
      <c r="J292" s="30">
        <f t="shared" si="28"/>
        <v>-1.9764085309090897</v>
      </c>
      <c r="K292" s="30">
        <f t="shared" si="21"/>
        <v>-1.0790299810000001</v>
      </c>
      <c r="L292" s="30">
        <f t="shared" si="22"/>
        <v>-0.34253160793126547</v>
      </c>
      <c r="M292" s="30">
        <f t="shared" si="23"/>
        <v>-3.0737209153399987</v>
      </c>
      <c r="N292" s="30">
        <f t="shared" si="24"/>
        <v>0.37450055999999998</v>
      </c>
      <c r="O292" s="28">
        <f t="shared" si="20"/>
        <v>5.5503334403136234E-3</v>
      </c>
      <c r="P292" s="28">
        <f t="shared" si="20"/>
        <v>3.9061906810502265</v>
      </c>
      <c r="Q292" s="28">
        <f t="shared" si="20"/>
        <v>1.1643056998968606</v>
      </c>
      <c r="R292" s="28">
        <f t="shared" si="19"/>
        <v>0.11732790243197816</v>
      </c>
      <c r="S292" s="28">
        <f t="shared" si="19"/>
        <v>9.4477602653985588</v>
      </c>
      <c r="T292" s="28">
        <f t="shared" si="19"/>
        <v>0.14025066944031359</v>
      </c>
    </row>
    <row r="293" spans="1:20" x14ac:dyDescent="0.2">
      <c r="A293" s="44">
        <v>45292</v>
      </c>
      <c r="B293" s="1">
        <v>3.2344521240000002</v>
      </c>
      <c r="C293" s="1">
        <v>3.1</v>
      </c>
      <c r="D293" s="1">
        <v>4.5443478260869599</v>
      </c>
      <c r="E293" s="18">
        <f t="shared" si="25"/>
        <v>4.2156180509999999</v>
      </c>
      <c r="F293" s="18">
        <f>AVERAGE($B$4:B291)</f>
        <v>3.7187633689141433</v>
      </c>
      <c r="G293" s="18">
        <f t="shared" si="26"/>
        <v>6.4902716244999992</v>
      </c>
      <c r="H293" s="19">
        <v>3</v>
      </c>
      <c r="I293" s="30">
        <f t="shared" si="27"/>
        <v>0.13445212400000006</v>
      </c>
      <c r="J293" s="30">
        <f t="shared" si="28"/>
        <v>-1.3098957020869597</v>
      </c>
      <c r="K293" s="30">
        <f t="shared" si="21"/>
        <v>-0.98116592699999972</v>
      </c>
      <c r="L293" s="30">
        <f t="shared" si="22"/>
        <v>-0.48431124491414312</v>
      </c>
      <c r="M293" s="30">
        <f t="shared" si="23"/>
        <v>-3.255819500499999</v>
      </c>
      <c r="N293" s="30">
        <f t="shared" si="24"/>
        <v>0.23445212400000015</v>
      </c>
      <c r="O293" s="28">
        <f t="shared" si="20"/>
        <v>1.8077373648111392E-2</v>
      </c>
      <c r="P293" s="28">
        <f t="shared" si="20"/>
        <v>1.7158267503458891</v>
      </c>
      <c r="Q293" s="28">
        <f t="shared" si="20"/>
        <v>0.96268657630576882</v>
      </c>
      <c r="R293" s="28">
        <f t="shared" si="19"/>
        <v>0.23455738195028714</v>
      </c>
      <c r="S293" s="28">
        <f t="shared" si="19"/>
        <v>10.600360619836064</v>
      </c>
      <c r="T293" s="28">
        <f t="shared" si="19"/>
        <v>5.4967798448111449E-2</v>
      </c>
    </row>
    <row r="294" spans="1:20" x14ac:dyDescent="0.2">
      <c r="A294" s="44">
        <v>45323</v>
      </c>
      <c r="B294" s="1">
        <v>3.5666570000000002</v>
      </c>
      <c r="C294" s="1">
        <v>3</v>
      </c>
      <c r="D294" s="1">
        <v>4.4747747747747697</v>
      </c>
      <c r="E294" s="18">
        <f t="shared" si="25"/>
        <v>3.37450056</v>
      </c>
      <c r="F294" s="18">
        <f>AVERAGE($B$4:B292)</f>
        <v>3.7175721481220525</v>
      </c>
      <c r="G294" s="18">
        <f t="shared" si="26"/>
        <v>6.5070545889199991</v>
      </c>
      <c r="H294" s="19">
        <v>3</v>
      </c>
      <c r="I294" s="30">
        <f t="shared" si="27"/>
        <v>0.56665700000000019</v>
      </c>
      <c r="J294" s="30">
        <f t="shared" si="28"/>
        <v>-0.90811777477476952</v>
      </c>
      <c r="K294" s="30">
        <f t="shared" si="21"/>
        <v>0.19215644000000021</v>
      </c>
      <c r="L294" s="30">
        <f t="shared" si="22"/>
        <v>-0.15091514812205231</v>
      </c>
      <c r="M294" s="30">
        <f t="shared" si="23"/>
        <v>-2.9403975889199989</v>
      </c>
      <c r="N294" s="30">
        <f t="shared" si="24"/>
        <v>0.56665700000000019</v>
      </c>
      <c r="O294" s="28">
        <f t="shared" si="20"/>
        <v>0.32110015564900024</v>
      </c>
      <c r="P294" s="28">
        <f t="shared" si="20"/>
        <v>0.82467789286187898</v>
      </c>
      <c r="Q294" s="28">
        <f t="shared" si="20"/>
        <v>3.6924097433473677E-2</v>
      </c>
      <c r="R294" s="28">
        <f t="shared" si="19"/>
        <v>2.277538193270099E-2</v>
      </c>
      <c r="S294" s="28">
        <f t="shared" si="19"/>
        <v>8.6459379809265435</v>
      </c>
      <c r="T294" s="28">
        <f t="shared" si="19"/>
        <v>0.32110015564900024</v>
      </c>
    </row>
    <row r="295" spans="1:20" x14ac:dyDescent="0.2">
      <c r="A295" s="44">
        <v>45352</v>
      </c>
      <c r="B295" s="1">
        <v>3.209628162</v>
      </c>
      <c r="C295" s="1">
        <v>3</v>
      </c>
      <c r="D295" s="1">
        <v>4.2804347826087001</v>
      </c>
      <c r="E295" s="18">
        <f t="shared" si="25"/>
        <v>3.2344521240000002</v>
      </c>
      <c r="F295" s="18">
        <f>AVERAGE($B$4:B293)</f>
        <v>3.7159062170043899</v>
      </c>
      <c r="G295" s="18">
        <f t="shared" si="26"/>
        <v>6.5175849689799987</v>
      </c>
      <c r="H295" s="19">
        <v>3</v>
      </c>
      <c r="I295" s="30">
        <f t="shared" si="27"/>
        <v>0.20962816200000001</v>
      </c>
      <c r="J295" s="30">
        <f t="shared" si="28"/>
        <v>-1.0708066206087001</v>
      </c>
      <c r="K295" s="30">
        <f t="shared" si="21"/>
        <v>-2.4823962000000144E-2</v>
      </c>
      <c r="L295" s="30">
        <f t="shared" si="22"/>
        <v>-0.50627805500438994</v>
      </c>
      <c r="M295" s="30">
        <f t="shared" si="23"/>
        <v>-3.3079568069799987</v>
      </c>
      <c r="N295" s="30">
        <f t="shared" si="24"/>
        <v>0.20962816200000001</v>
      </c>
      <c r="O295" s="28">
        <f t="shared" si="20"/>
        <v>4.3943966303498248E-2</v>
      </c>
      <c r="P295" s="28">
        <f t="shared" si="20"/>
        <v>1.1466268187394246</v>
      </c>
      <c r="Q295" s="28">
        <f t="shared" si="20"/>
        <v>6.1622908937745112E-4</v>
      </c>
      <c r="R295" s="28">
        <f t="shared" si="19"/>
        <v>0.25631746897902807</v>
      </c>
      <c r="S295" s="28">
        <f t="shared" si="19"/>
        <v>10.942578236845309</v>
      </c>
      <c r="T295" s="28">
        <f t="shared" si="19"/>
        <v>4.3943966303498248E-2</v>
      </c>
    </row>
    <row r="296" spans="1:20" x14ac:dyDescent="0.2">
      <c r="A296" s="44">
        <v>45383</v>
      </c>
      <c r="B296" s="1">
        <v>3.4821209392144001</v>
      </c>
      <c r="C296" s="1">
        <v>3</v>
      </c>
      <c r="D296" s="1">
        <v>4.2276315789473697</v>
      </c>
      <c r="E296" s="18">
        <f t="shared" si="25"/>
        <v>3.5666570000000002</v>
      </c>
      <c r="F296" s="18">
        <f>AVERAGE($B$4:B294)</f>
        <v>3.7153933330971589</v>
      </c>
      <c r="G296" s="18">
        <f t="shared" si="26"/>
        <v>6.5289085047599986</v>
      </c>
      <c r="H296" s="19">
        <v>3</v>
      </c>
      <c r="I296" s="30">
        <f t="shared" si="27"/>
        <v>0.48212093921440013</v>
      </c>
      <c r="J296" s="30">
        <f t="shared" si="28"/>
        <v>-0.7455106397329696</v>
      </c>
      <c r="K296" s="30">
        <f t="shared" si="21"/>
        <v>-8.4536060785600053E-2</v>
      </c>
      <c r="L296" s="30">
        <f t="shared" si="22"/>
        <v>-0.23327239388275878</v>
      </c>
      <c r="M296" s="30">
        <f t="shared" si="23"/>
        <v>-3.0467875655455985</v>
      </c>
      <c r="N296" s="30">
        <f t="shared" si="24"/>
        <v>0.48212093921440013</v>
      </c>
      <c r="O296" s="28">
        <f t="shared" si="20"/>
        <v>0.23244060002897532</v>
      </c>
      <c r="P296" s="28">
        <f t="shared" si="20"/>
        <v>0.55578611395506161</v>
      </c>
      <c r="Q296" s="28">
        <f t="shared" si="20"/>
        <v>7.1463455731466674E-3</v>
      </c>
      <c r="R296" s="28">
        <f t="shared" si="19"/>
        <v>5.4416009747792954E-2</v>
      </c>
      <c r="S296" s="28">
        <f t="shared" si="19"/>
        <v>9.2829144695632753</v>
      </c>
      <c r="T296" s="28">
        <f t="shared" si="19"/>
        <v>0.23244060002897532</v>
      </c>
    </row>
    <row r="297" spans="1:20" x14ac:dyDescent="0.2">
      <c r="A297" s="44">
        <v>45413</v>
      </c>
      <c r="B297" s="1">
        <v>3.4222492766591999</v>
      </c>
      <c r="C297" s="1">
        <v>3.1</v>
      </c>
      <c r="D297" s="1">
        <v>4.3207920792079202</v>
      </c>
      <c r="E297" s="18">
        <f t="shared" si="25"/>
        <v>3.209628162</v>
      </c>
      <c r="F297" s="18">
        <f>AVERAGE($B$4:B295)</f>
        <v>3.7136612605934012</v>
      </c>
      <c r="G297" s="18">
        <f t="shared" si="26"/>
        <v>6.5237242988999995</v>
      </c>
      <c r="H297" s="19">
        <v>3</v>
      </c>
      <c r="I297" s="30">
        <f t="shared" si="27"/>
        <v>0.32224927665919978</v>
      </c>
      <c r="J297" s="30">
        <f t="shared" si="28"/>
        <v>-0.89854280254872032</v>
      </c>
      <c r="K297" s="30">
        <f t="shared" si="21"/>
        <v>0.21262111465919986</v>
      </c>
      <c r="L297" s="30">
        <f t="shared" si="22"/>
        <v>-0.29141198393420131</v>
      </c>
      <c r="M297" s="30">
        <f t="shared" si="23"/>
        <v>-3.1014750222407996</v>
      </c>
      <c r="N297" s="30">
        <f t="shared" si="24"/>
        <v>0.42224927665919987</v>
      </c>
      <c r="O297" s="28">
        <f t="shared" si="20"/>
        <v>0.10384459630737748</v>
      </c>
      <c r="P297" s="28">
        <f t="shared" si="20"/>
        <v>0.80737916801210863</v>
      </c>
      <c r="Q297" s="28">
        <f t="shared" si="20"/>
        <v>4.5207738398920616E-2</v>
      </c>
      <c r="R297" s="28">
        <f t="shared" si="19"/>
        <v>8.4920944380467198E-2</v>
      </c>
      <c r="S297" s="28">
        <f t="shared" si="19"/>
        <v>9.6191473135835679</v>
      </c>
      <c r="T297" s="28">
        <f t="shared" si="19"/>
        <v>0.1782944516392175</v>
      </c>
    </row>
    <row r="298" spans="1:20" x14ac:dyDescent="0.2">
      <c r="A298" s="44">
        <v>45444</v>
      </c>
      <c r="B298" s="1">
        <v>3.7778068406444998</v>
      </c>
      <c r="C298" s="1">
        <v>3.2</v>
      </c>
      <c r="D298" s="1">
        <v>4.34255319148936</v>
      </c>
      <c r="E298" s="18">
        <f t="shared" si="25"/>
        <v>3.4821209392144001</v>
      </c>
      <c r="F298" s="18">
        <f>AVERAGE($B$4:B296)</f>
        <v>3.7128710205886946</v>
      </c>
      <c r="G298" s="18">
        <f t="shared" si="26"/>
        <v>6.5156714594842864</v>
      </c>
      <c r="H298" s="19">
        <v>3</v>
      </c>
      <c r="I298" s="30">
        <f t="shared" si="27"/>
        <v>0.57780684064449961</v>
      </c>
      <c r="J298" s="30">
        <f t="shared" si="28"/>
        <v>-0.56474635084486025</v>
      </c>
      <c r="K298" s="30">
        <f t="shared" si="21"/>
        <v>0.29568590143009965</v>
      </c>
      <c r="L298" s="30">
        <f t="shared" si="22"/>
        <v>6.4935820055805227E-2</v>
      </c>
      <c r="M298" s="30">
        <f t="shared" si="23"/>
        <v>-2.7378646188397866</v>
      </c>
      <c r="N298" s="30">
        <f t="shared" si="24"/>
        <v>0.77780684064449979</v>
      </c>
      <c r="O298" s="28">
        <f t="shared" si="20"/>
        <v>0.33386074509557817</v>
      </c>
      <c r="P298" s="28">
        <f t="shared" si="20"/>
        <v>0.31893844079258599</v>
      </c>
      <c r="Q298" s="28">
        <f t="shared" si="20"/>
        <v>8.7430152304530606E-2</v>
      </c>
      <c r="R298" s="28">
        <f t="shared" si="19"/>
        <v>4.2166607263199162E-3</v>
      </c>
      <c r="S298" s="28">
        <f t="shared" si="19"/>
        <v>7.4959026710947301</v>
      </c>
      <c r="T298" s="28">
        <f t="shared" si="19"/>
        <v>0.60498348135337832</v>
      </c>
    </row>
    <row r="299" spans="1:20" x14ac:dyDescent="0.2">
      <c r="A299" s="44">
        <v>45474</v>
      </c>
      <c r="B299" s="1">
        <v>4.4173706708868998</v>
      </c>
      <c r="C299" s="1">
        <v>3.2</v>
      </c>
      <c r="D299" s="1">
        <v>4.3369999999999997</v>
      </c>
      <c r="E299" s="18">
        <f t="shared" si="25"/>
        <v>3.4222492766591999</v>
      </c>
      <c r="F299" s="18">
        <f>AVERAGE($B$4:B297)</f>
        <v>3.7118825112556011</v>
      </c>
      <c r="G299" s="18">
        <f t="shared" si="26"/>
        <v>6.5093924163374712</v>
      </c>
      <c r="H299" s="19">
        <v>3</v>
      </c>
      <c r="I299" s="30">
        <f t="shared" si="27"/>
        <v>1.2173706708868997</v>
      </c>
      <c r="J299" s="30">
        <f t="shared" si="28"/>
        <v>8.0370670886900086E-2</v>
      </c>
      <c r="K299" s="30">
        <f t="shared" si="21"/>
        <v>0.99512139422769996</v>
      </c>
      <c r="L299" s="30">
        <f t="shared" si="22"/>
        <v>0.70548815963129874</v>
      </c>
      <c r="M299" s="30">
        <f t="shared" si="23"/>
        <v>-2.0920217454505714</v>
      </c>
      <c r="N299" s="30">
        <f t="shared" si="24"/>
        <v>1.4173706708868998</v>
      </c>
      <c r="O299" s="28">
        <f t="shared" si="20"/>
        <v>1.4819913503356201</v>
      </c>
      <c r="P299" s="28">
        <f t="shared" si="20"/>
        <v>6.4594447388104095E-3</v>
      </c>
      <c r="Q299" s="28">
        <f t="shared" si="20"/>
        <v>0.99026658924968147</v>
      </c>
      <c r="R299" s="28">
        <f t="shared" si="19"/>
        <v>0.49771354337995682</v>
      </c>
      <c r="S299" s="28">
        <f t="shared" si="19"/>
        <v>4.376554983438055</v>
      </c>
      <c r="T299" s="28">
        <f t="shared" si="19"/>
        <v>2.0089396186903805</v>
      </c>
    </row>
    <row r="300" spans="1:20" x14ac:dyDescent="0.2">
      <c r="A300" s="44">
        <v>45505</v>
      </c>
      <c r="B300" s="1">
        <v>4.5609002268768002</v>
      </c>
      <c r="C300" s="1">
        <v>3.6</v>
      </c>
      <c r="D300" s="1">
        <v>4.2091503267973902</v>
      </c>
      <c r="E300" s="18">
        <f t="shared" si="25"/>
        <v>3.7778068406444998</v>
      </c>
      <c r="F300" s="18">
        <f>AVERAGE($B$4:B298)</f>
        <v>3.7121059835586139</v>
      </c>
      <c r="G300" s="18">
        <f t="shared" si="26"/>
        <v>6.5164591118903603</v>
      </c>
      <c r="H300" s="19">
        <v>3</v>
      </c>
      <c r="I300" s="30">
        <f t="shared" si="27"/>
        <v>0.9609002268768001</v>
      </c>
      <c r="J300" s="30">
        <f t="shared" si="28"/>
        <v>0.35174990007940998</v>
      </c>
      <c r="K300" s="30">
        <f t="shared" si="21"/>
        <v>0.7830933862323004</v>
      </c>
      <c r="L300" s="30">
        <f t="shared" si="22"/>
        <v>0.84879424331818631</v>
      </c>
      <c r="M300" s="30">
        <f t="shared" si="23"/>
        <v>-1.9555588850135601</v>
      </c>
      <c r="N300" s="30">
        <f t="shared" si="24"/>
        <v>1.5609002268768002</v>
      </c>
      <c r="O300" s="28">
        <f t="shared" si="20"/>
        <v>0.92332924601188593</v>
      </c>
      <c r="P300" s="28">
        <f t="shared" si="20"/>
        <v>0.12372799220587491</v>
      </c>
      <c r="Q300" s="28">
        <f t="shared" si="20"/>
        <v>0.61323525156077086</v>
      </c>
      <c r="R300" s="28">
        <f t="shared" si="19"/>
        <v>0.72045166749009248</v>
      </c>
      <c r="S300" s="28">
        <f t="shared" si="19"/>
        <v>3.8242105527554786</v>
      </c>
      <c r="T300" s="28">
        <f t="shared" si="19"/>
        <v>2.4364095182640462</v>
      </c>
    </row>
    <row r="301" spans="1:20" x14ac:dyDescent="0.2">
      <c r="A301" s="44">
        <v>45536</v>
      </c>
      <c r="B301" s="1">
        <v>3.9917311074259998</v>
      </c>
      <c r="C301" s="1">
        <v>3.8</v>
      </c>
      <c r="D301" s="1">
        <v>4.3973856209150304</v>
      </c>
      <c r="E301" s="18">
        <f t="shared" si="25"/>
        <v>4.4173706708868998</v>
      </c>
      <c r="F301" s="18">
        <f>AVERAGE($B$4:B299)</f>
        <v>3.7144886345293173</v>
      </c>
      <c r="G301" s="18">
        <f t="shared" si="26"/>
        <v>6.5497672485480987</v>
      </c>
      <c r="H301" s="19">
        <v>3</v>
      </c>
      <c r="I301" s="30">
        <f t="shared" si="27"/>
        <v>0.19173110742599997</v>
      </c>
      <c r="J301" s="30">
        <f t="shared" si="28"/>
        <v>-0.40565451348903059</v>
      </c>
      <c r="K301" s="30">
        <f t="shared" si="21"/>
        <v>-0.42563956346090004</v>
      </c>
      <c r="L301" s="30">
        <f t="shared" si="22"/>
        <v>0.27724247289668247</v>
      </c>
      <c r="M301" s="30">
        <f t="shared" si="23"/>
        <v>-2.5580361411220989</v>
      </c>
      <c r="N301" s="30">
        <f t="shared" si="24"/>
        <v>0.99173110742599979</v>
      </c>
      <c r="O301" s="28">
        <f t="shared" si="20"/>
        <v>3.6760817554800339E-2</v>
      </c>
      <c r="P301" s="28">
        <f t="shared" si="20"/>
        <v>0.16455558431402209</v>
      </c>
      <c r="Q301" s="28">
        <f t="shared" si="20"/>
        <v>0.18116903798318554</v>
      </c>
      <c r="R301" s="28">
        <f t="shared" si="19"/>
        <v>7.6863388777867719E-2</v>
      </c>
      <c r="S301" s="28">
        <f t="shared" si="19"/>
        <v>6.5435488992868382</v>
      </c>
      <c r="T301" s="28">
        <f t="shared" si="19"/>
        <v>0.98353058943639993</v>
      </c>
    </row>
    <row r="302" spans="1:20" x14ac:dyDescent="0.2">
      <c r="A302" s="44">
        <v>45566</v>
      </c>
      <c r="B302" s="1">
        <v>4.6984342929578</v>
      </c>
      <c r="C302" s="1">
        <v>3.8</v>
      </c>
      <c r="D302" s="1">
        <v>4.4731249999999996</v>
      </c>
      <c r="E302" s="18">
        <f t="shared" si="25"/>
        <v>4.5609002268768002</v>
      </c>
      <c r="F302" s="18">
        <f>AVERAGE($B$4:B300)</f>
        <v>3.717338505210622</v>
      </c>
      <c r="G302" s="18">
        <f t="shared" si="26"/>
        <v>6.5884246254656356</v>
      </c>
      <c r="H302" s="19">
        <v>3</v>
      </c>
      <c r="I302" s="30">
        <f t="shared" si="27"/>
        <v>0.8984342929578002</v>
      </c>
      <c r="J302" s="30">
        <f t="shared" si="28"/>
        <v>0.22530929295780044</v>
      </c>
      <c r="K302" s="30">
        <f t="shared" si="21"/>
        <v>0.13753406608099983</v>
      </c>
      <c r="L302" s="30">
        <f t="shared" si="22"/>
        <v>0.98109578774717798</v>
      </c>
      <c r="M302" s="30">
        <f t="shared" si="23"/>
        <v>-1.8899903325078355</v>
      </c>
      <c r="N302" s="30">
        <f t="shared" si="24"/>
        <v>1.6984342929578</v>
      </c>
      <c r="O302" s="28">
        <f t="shared" si="20"/>
        <v>0.80718417876258231</v>
      </c>
      <c r="P302" s="28">
        <f t="shared" si="20"/>
        <v>5.0764277493143946E-2</v>
      </c>
      <c r="Q302" s="28">
        <f t="shared" si="20"/>
        <v>1.8915619332772828E-2</v>
      </c>
      <c r="R302" s="28">
        <f t="shared" si="19"/>
        <v>0.96254894473525576</v>
      </c>
      <c r="S302" s="28">
        <f t="shared" si="19"/>
        <v>3.5720634569730789</v>
      </c>
      <c r="T302" s="28">
        <f t="shared" si="19"/>
        <v>2.8846790474950619</v>
      </c>
    </row>
    <row r="303" spans="1:20" x14ac:dyDescent="0.2">
      <c r="A303" s="44">
        <v>45597</v>
      </c>
      <c r="B303" s="1">
        <v>4.1841311531557999</v>
      </c>
      <c r="C303" s="1">
        <v>3.7</v>
      </c>
      <c r="D303" s="1">
        <v>4.3389221556886204</v>
      </c>
      <c r="E303" s="18">
        <f t="shared" si="25"/>
        <v>3.9917311074259998</v>
      </c>
      <c r="F303" s="18">
        <f>AVERAGE($B$4:B301)</f>
        <v>3.7182592857549688</v>
      </c>
      <c r="G303" s="18">
        <f t="shared" si="26"/>
        <v>6.6182230202541552</v>
      </c>
      <c r="H303" s="19">
        <v>3</v>
      </c>
      <c r="I303" s="30">
        <f t="shared" si="27"/>
        <v>0.48413115315579969</v>
      </c>
      <c r="J303" s="30">
        <f t="shared" si="28"/>
        <v>-0.15479100253282052</v>
      </c>
      <c r="K303" s="30">
        <f t="shared" si="21"/>
        <v>0.19240004572980007</v>
      </c>
      <c r="L303" s="30">
        <f t="shared" si="22"/>
        <v>0.46587186740083109</v>
      </c>
      <c r="M303" s="30">
        <f t="shared" si="23"/>
        <v>-2.4340918670983553</v>
      </c>
      <c r="N303" s="30">
        <f t="shared" si="24"/>
        <v>1.1841311531557999</v>
      </c>
      <c r="O303" s="28">
        <f t="shared" si="20"/>
        <v>0.23438297345596437</v>
      </c>
      <c r="P303" s="28">
        <f t="shared" si="20"/>
        <v>2.3960254465115648E-2</v>
      </c>
      <c r="Q303" s="28">
        <f t="shared" si="20"/>
        <v>3.7017777596829157E-2</v>
      </c>
      <c r="R303" s="28">
        <f t="shared" si="19"/>
        <v>0.21703659683553755</v>
      </c>
      <c r="S303" s="28">
        <f t="shared" si="19"/>
        <v>5.9248032174743575</v>
      </c>
      <c r="T303" s="28">
        <f t="shared" si="19"/>
        <v>1.4021665878740843</v>
      </c>
    </row>
    <row r="304" spans="1:20" x14ac:dyDescent="0.2">
      <c r="A304" s="44">
        <v>45627</v>
      </c>
      <c r="B304" s="1">
        <v>4.5271651727949997</v>
      </c>
      <c r="C304" s="1">
        <v>3.6</v>
      </c>
      <c r="D304" s="1">
        <v>4.2837500000000004</v>
      </c>
      <c r="E304" s="18">
        <f t="shared" si="25"/>
        <v>4.6984342929578</v>
      </c>
      <c r="F304" s="18">
        <f>AVERAGE($B$4:B302)</f>
        <v>3.7215374630365834</v>
      </c>
      <c r="G304" s="18">
        <f t="shared" si="26"/>
        <v>6.663283173413312</v>
      </c>
      <c r="H304" s="19">
        <v>3</v>
      </c>
      <c r="I304" s="30">
        <f t="shared" si="27"/>
        <v>0.92716517279499966</v>
      </c>
      <c r="J304" s="30">
        <f t="shared" si="28"/>
        <v>0.24341517279499936</v>
      </c>
      <c r="K304" s="30">
        <f t="shared" si="21"/>
        <v>-0.17126912016280027</v>
      </c>
      <c r="L304" s="30">
        <f t="shared" si="22"/>
        <v>0.80562770975841635</v>
      </c>
      <c r="M304" s="30">
        <f t="shared" si="23"/>
        <v>-2.1361180006183123</v>
      </c>
      <c r="N304" s="30">
        <f t="shared" si="24"/>
        <v>1.5271651727949997</v>
      </c>
      <c r="O304" s="28">
        <f t="shared" si="20"/>
        <v>0.85963525764398152</v>
      </c>
      <c r="P304" s="28">
        <f t="shared" si="20"/>
        <v>5.9250946346819398E-2</v>
      </c>
      <c r="Q304" s="28">
        <f t="shared" si="20"/>
        <v>2.9333111521339716E-2</v>
      </c>
      <c r="R304" s="28">
        <f t="shared" si="19"/>
        <v>0.64903600673059114</v>
      </c>
      <c r="S304" s="28">
        <f t="shared" si="19"/>
        <v>4.5630001125655761</v>
      </c>
      <c r="T304" s="28">
        <f t="shared" si="19"/>
        <v>2.3322334649979815</v>
      </c>
    </row>
    <row r="305" spans="1:20" x14ac:dyDescent="0.2">
      <c r="A305" s="44">
        <v>45658</v>
      </c>
      <c r="B305" s="1">
        <v>4.9415503834856001</v>
      </c>
      <c r="C305" s="1">
        <v>3.6</v>
      </c>
      <c r="D305" s="1">
        <v>4.1993710691823898</v>
      </c>
      <c r="E305" s="18">
        <f t="shared" si="25"/>
        <v>4.1841311531557999</v>
      </c>
      <c r="F305" s="18">
        <f>AVERAGE($B$4:B303)</f>
        <v>3.7230794420036468</v>
      </c>
      <c r="G305" s="18">
        <f t="shared" si="26"/>
        <v>6.6852915547564287</v>
      </c>
      <c r="H305" s="19">
        <v>3</v>
      </c>
      <c r="I305" s="30">
        <f t="shared" si="27"/>
        <v>1.3415503834856</v>
      </c>
      <c r="J305" s="30">
        <f t="shared" si="28"/>
        <v>0.74217931430321027</v>
      </c>
      <c r="K305" s="30">
        <f t="shared" si="21"/>
        <v>0.75741923032980019</v>
      </c>
      <c r="L305" s="30">
        <f t="shared" si="22"/>
        <v>1.2184709414819532</v>
      </c>
      <c r="M305" s="30">
        <f t="shared" si="23"/>
        <v>-1.7437411712708286</v>
      </c>
      <c r="N305" s="30">
        <f t="shared" si="24"/>
        <v>1.9415503834856001</v>
      </c>
      <c r="O305" s="28">
        <f t="shared" si="20"/>
        <v>1.7997574314303604</v>
      </c>
      <c r="P305" s="28">
        <f t="shared" si="20"/>
        <v>0.55083013457958341</v>
      </c>
      <c r="Q305" s="28">
        <f t="shared" si="20"/>
        <v>0.57368389047338686</v>
      </c>
      <c r="R305" s="28">
        <f t="shared" si="19"/>
        <v>1.4846714352359174</v>
      </c>
      <c r="S305" s="28">
        <f t="shared" si="19"/>
        <v>3.0406332723849614</v>
      </c>
      <c r="T305" s="28">
        <f t="shared" si="19"/>
        <v>3.7696178916130805</v>
      </c>
    </row>
    <row r="306" spans="1:20" x14ac:dyDescent="0.2">
      <c r="A306" s="44">
        <v>45689</v>
      </c>
      <c r="B306" s="1">
        <v>4.7383011500194003</v>
      </c>
      <c r="C306" s="1">
        <v>3.8</v>
      </c>
      <c r="D306" s="1">
        <v>4.2689440993788796</v>
      </c>
      <c r="E306" s="18">
        <f t="shared" si="25"/>
        <v>4.5271651727949997</v>
      </c>
      <c r="F306" s="18">
        <f>AVERAGE($B$4:B304)</f>
        <v>3.7257508231690672</v>
      </c>
      <c r="G306" s="18">
        <f t="shared" si="26"/>
        <v>6.7167056563123273</v>
      </c>
      <c r="H306" s="19">
        <v>3</v>
      </c>
      <c r="I306" s="30">
        <f t="shared" si="27"/>
        <v>0.93830115001940051</v>
      </c>
      <c r="J306" s="30">
        <f t="shared" si="28"/>
        <v>0.46935705064052069</v>
      </c>
      <c r="K306" s="30">
        <f t="shared" si="21"/>
        <v>0.21113597722440058</v>
      </c>
      <c r="L306" s="30">
        <f t="shared" si="22"/>
        <v>1.0125503268503331</v>
      </c>
      <c r="M306" s="30">
        <f t="shared" si="23"/>
        <v>-1.978404506292927</v>
      </c>
      <c r="N306" s="30">
        <f t="shared" si="24"/>
        <v>1.7383011500194003</v>
      </c>
      <c r="O306" s="28">
        <f t="shared" si="20"/>
        <v>0.88040904812772958</v>
      </c>
      <c r="P306" s="28">
        <f t="shared" si="20"/>
        <v>0.22029604098596831</v>
      </c>
      <c r="Q306" s="28">
        <f t="shared" si="20"/>
        <v>4.4578400878502601E-2</v>
      </c>
      <c r="R306" s="28">
        <f t="shared" si="19"/>
        <v>1.0252581644047163</v>
      </c>
      <c r="S306" s="28">
        <f t="shared" si="19"/>
        <v>3.9140843905201601</v>
      </c>
      <c r="T306" s="28">
        <f t="shared" si="19"/>
        <v>3.0216908881587696</v>
      </c>
    </row>
    <row r="307" spans="1:20" x14ac:dyDescent="0.2">
      <c r="A307" s="44">
        <v>45717</v>
      </c>
      <c r="B307" s="1">
        <v>4.9000000000000004</v>
      </c>
      <c r="C307" s="1">
        <v>3.6</v>
      </c>
      <c r="D307" s="1">
        <v>4.2895522388059701</v>
      </c>
      <c r="E307" s="18">
        <f t="shared" si="25"/>
        <v>4.9415503834856001</v>
      </c>
      <c r="F307" s="18">
        <f>AVERAGE($B$4:B305)</f>
        <v>3.7297766495277309</v>
      </c>
      <c r="G307" s="18">
        <f t="shared" si="26"/>
        <v>6.7609764073220386</v>
      </c>
      <c r="H307" s="19">
        <v>3</v>
      </c>
      <c r="I307" s="30">
        <f t="shared" si="27"/>
        <v>1.3000000000000003</v>
      </c>
      <c r="J307" s="30">
        <f t="shared" si="28"/>
        <v>0.61044776119403021</v>
      </c>
      <c r="K307" s="30">
        <f t="shared" si="21"/>
        <v>-4.1550383485599696E-2</v>
      </c>
      <c r="L307" s="30">
        <f t="shared" si="22"/>
        <v>1.1702233504722694</v>
      </c>
      <c r="M307" s="30">
        <f t="shared" si="23"/>
        <v>-1.8609764073220383</v>
      </c>
      <c r="N307" s="30">
        <f t="shared" si="24"/>
        <v>1.9000000000000004</v>
      </c>
      <c r="O307" s="28">
        <f t="shared" si="20"/>
        <v>1.6900000000000006</v>
      </c>
      <c r="P307" s="28">
        <f t="shared" si="20"/>
        <v>0.37264646914680372</v>
      </c>
      <c r="Q307" s="28">
        <f t="shared" si="20"/>
        <v>1.7264343678003958E-3</v>
      </c>
      <c r="R307" s="28">
        <f t="shared" si="19"/>
        <v>1.369422689990544</v>
      </c>
      <c r="S307" s="28">
        <f t="shared" si="19"/>
        <v>3.4632331886092409</v>
      </c>
      <c r="T307" s="28">
        <f t="shared" si="19"/>
        <v>3.6100000000000012</v>
      </c>
    </row>
    <row r="308" spans="1:20" x14ac:dyDescent="0.2">
      <c r="A308" s="44">
        <v>45748</v>
      </c>
      <c r="C308" s="1">
        <v>3.5</v>
      </c>
      <c r="D308" s="1">
        <v>4.32</v>
      </c>
    </row>
    <row r="309" spans="1:20" x14ac:dyDescent="0.2">
      <c r="C309" s="21"/>
      <c r="D309" s="13"/>
    </row>
    <row r="314" spans="1:20" ht="16" thickBot="1" x14ac:dyDescent="0.25"/>
    <row r="315" spans="1:20" ht="16" thickBot="1" x14ac:dyDescent="0.25">
      <c r="A315" s="3"/>
      <c r="B315" s="2"/>
      <c r="C315" s="4"/>
      <c r="O315" s="51" t="s">
        <v>44</v>
      </c>
    </row>
    <row r="316" spans="1:20" ht="16" thickBot="1" x14ac:dyDescent="0.25">
      <c r="A316" s="3"/>
      <c r="O316" s="52">
        <f t="shared" ref="O316:T316" si="29">SQRT(AVERAGE(O149:O307))</f>
        <v>2.1483713461985112</v>
      </c>
      <c r="P316" s="52">
        <f t="shared" si="29"/>
        <v>1.2980579106858374</v>
      </c>
      <c r="Q316" s="52">
        <f t="shared" si="29"/>
        <v>0.82426190742467775</v>
      </c>
      <c r="R316" s="52">
        <f t="shared" si="29"/>
        <v>2.92167079877655</v>
      </c>
      <c r="S316" s="52">
        <f t="shared" si="29"/>
        <v>2.8190899297258998</v>
      </c>
      <c r="T316" s="53">
        <f t="shared" si="29"/>
        <v>3.0728457780936407</v>
      </c>
    </row>
    <row r="317" spans="1:20" ht="16" thickBot="1" x14ac:dyDescent="0.25"/>
    <row r="318" spans="1:20" ht="16" thickBot="1" x14ac:dyDescent="0.25">
      <c r="O318" s="51" t="s">
        <v>43</v>
      </c>
    </row>
    <row r="319" spans="1:20" ht="16" thickBot="1" x14ac:dyDescent="0.25">
      <c r="O319" s="52">
        <f>NOWCAST!O316</f>
        <v>2.15543152738113</v>
      </c>
      <c r="P319" s="52">
        <f>NOWCAST!P316</f>
        <v>1.2089267270163453</v>
      </c>
      <c r="Q319" s="52">
        <f>NOWCAST!Q316</f>
        <v>0.4815895381005264</v>
      </c>
      <c r="R319" s="54">
        <f>NOWCAST!R316</f>
        <v>2.9033138479826386</v>
      </c>
      <c r="S319" s="52">
        <f>NOWCAST!S316</f>
        <v>2.7511096684829077</v>
      </c>
      <c r="T319" s="53">
        <f>NOWCAST!T316</f>
        <v>3.0653361179630072</v>
      </c>
    </row>
    <row r="321" spans="15:20" x14ac:dyDescent="0.2">
      <c r="O321" s="9"/>
    </row>
    <row r="322" spans="15:20" x14ac:dyDescent="0.2">
      <c r="O322" s="7"/>
      <c r="P322" s="7"/>
      <c r="Q322" s="7"/>
      <c r="R322" s="7"/>
      <c r="S322" s="7"/>
      <c r="T322" s="7"/>
    </row>
  </sheetData>
  <mergeCells count="1">
    <mergeCell ref="A1:C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08FFD-8DD3-1944-A972-37249E016CC8}">
  <dimension ref="A1:E20"/>
  <sheetViews>
    <sheetView zoomScale="150" workbookViewId="0">
      <selection activeCell="D24" sqref="D24"/>
    </sheetView>
  </sheetViews>
  <sheetFormatPr baseColWidth="10" defaultRowHeight="15" x14ac:dyDescent="0.2"/>
  <cols>
    <col min="1" max="1" width="22.83203125" style="11" customWidth="1"/>
    <col min="2" max="16384" width="10.83203125" style="11"/>
  </cols>
  <sheetData>
    <row r="1" spans="1:5" ht="16" thickBot="1" x14ac:dyDescent="0.25"/>
    <row r="2" spans="1:5" ht="16" thickBot="1" x14ac:dyDescent="0.25">
      <c r="A2" s="38" t="s">
        <v>45</v>
      </c>
      <c r="E2" s="38" t="s">
        <v>46</v>
      </c>
    </row>
    <row r="11" spans="1:5" ht="16" thickBot="1" x14ac:dyDescent="0.25"/>
    <row r="12" spans="1:5" ht="16" thickBot="1" x14ac:dyDescent="0.25">
      <c r="A12" s="39" t="s">
        <v>41</v>
      </c>
      <c r="B12" s="40"/>
    </row>
    <row r="13" spans="1:5" ht="16" thickBot="1" x14ac:dyDescent="0.25">
      <c r="A13" s="41" t="s">
        <v>35</v>
      </c>
      <c r="B13" s="41" t="s">
        <v>34</v>
      </c>
    </row>
    <row r="14" spans="1:5" ht="16" thickBot="1" x14ac:dyDescent="0.25">
      <c r="A14" s="27">
        <v>2.1549999999999998</v>
      </c>
      <c r="B14" s="27">
        <v>1.2090000000000001</v>
      </c>
    </row>
    <row r="17" spans="1:2" ht="16" thickBot="1" x14ac:dyDescent="0.25"/>
    <row r="18" spans="1:2" ht="16" thickBot="1" x14ac:dyDescent="0.25">
      <c r="A18" s="39" t="s">
        <v>40</v>
      </c>
      <c r="B18" s="40"/>
    </row>
    <row r="19" spans="1:2" ht="16" thickBot="1" x14ac:dyDescent="0.25">
      <c r="A19" s="48" t="s">
        <v>35</v>
      </c>
      <c r="B19" s="49" t="s">
        <v>34</v>
      </c>
    </row>
    <row r="20" spans="1:2" ht="16" thickBot="1" x14ac:dyDescent="0.25">
      <c r="A20" s="27">
        <v>2.16</v>
      </c>
      <c r="B20" s="27">
        <v>1.21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34574-D3E7-6242-92A1-735F420E3669}">
  <dimension ref="A1:N329"/>
  <sheetViews>
    <sheetView topLeftCell="A309" zoomScale="140" workbookViewId="0">
      <selection activeCell="I141" sqref="I141"/>
    </sheetView>
  </sheetViews>
  <sheetFormatPr baseColWidth="10" defaultRowHeight="15" x14ac:dyDescent="0.2"/>
  <cols>
    <col min="3" max="3" width="12.33203125" customWidth="1"/>
    <col min="4" max="4" width="18.1640625" customWidth="1"/>
    <col min="14" max="14" width="13.6640625" bestFit="1" customWidth="1"/>
  </cols>
  <sheetData>
    <row r="1" spans="1:12" ht="16" x14ac:dyDescent="0.2">
      <c r="A1" s="84"/>
      <c r="B1" s="85"/>
    </row>
    <row r="3" spans="1:12" ht="85" x14ac:dyDescent="0.2">
      <c r="A3" s="42" t="s">
        <v>1</v>
      </c>
      <c r="B3" s="42" t="s">
        <v>39</v>
      </c>
      <c r="C3" s="42" t="s">
        <v>53</v>
      </c>
      <c r="D3" s="50" t="s">
        <v>48</v>
      </c>
      <c r="E3" s="43" t="s">
        <v>5</v>
      </c>
      <c r="F3" s="43" t="s">
        <v>6</v>
      </c>
      <c r="G3" s="43" t="s">
        <v>36</v>
      </c>
      <c r="H3" s="43" t="s">
        <v>67</v>
      </c>
      <c r="I3" s="43" t="s">
        <v>68</v>
      </c>
      <c r="J3" s="43" t="s">
        <v>66</v>
      </c>
      <c r="K3" s="43" t="s">
        <v>7</v>
      </c>
      <c r="L3" s="43" t="s">
        <v>47</v>
      </c>
    </row>
    <row r="4" spans="1:12" x14ac:dyDescent="0.2">
      <c r="A4" s="44">
        <v>36495</v>
      </c>
      <c r="B4" s="32">
        <v>2.320284515</v>
      </c>
      <c r="E4" s="24"/>
      <c r="F4" s="24"/>
    </row>
    <row r="5" spans="1:12" x14ac:dyDescent="0.2">
      <c r="A5" s="44">
        <v>36526</v>
      </c>
      <c r="B5" s="32">
        <v>2.8316204100000002</v>
      </c>
      <c r="E5" s="25">
        <f t="shared" ref="E5:E68" si="0">B4</f>
        <v>2.320284515</v>
      </c>
      <c r="F5" s="24"/>
    </row>
    <row r="6" spans="1:12" x14ac:dyDescent="0.2">
      <c r="A6" s="44">
        <v>36557</v>
      </c>
      <c r="B6" s="32">
        <v>3.3276025819999999</v>
      </c>
      <c r="E6" s="25">
        <f t="shared" si="0"/>
        <v>2.8316204100000002</v>
      </c>
      <c r="F6" s="25">
        <f t="shared" ref="F6:F69" si="1">B4</f>
        <v>2.320284515</v>
      </c>
    </row>
    <row r="7" spans="1:12" x14ac:dyDescent="0.2">
      <c r="A7" s="44">
        <v>36586</v>
      </c>
      <c r="B7" s="32">
        <v>3.4272735679999999</v>
      </c>
      <c r="E7" s="25">
        <f t="shared" si="0"/>
        <v>3.3276025819999999</v>
      </c>
      <c r="F7" s="25">
        <f t="shared" si="1"/>
        <v>2.8316204100000002</v>
      </c>
    </row>
    <row r="8" spans="1:12" x14ac:dyDescent="0.2">
      <c r="A8" s="44">
        <v>36617</v>
      </c>
      <c r="B8" s="32">
        <v>3.5302095370000002</v>
      </c>
      <c r="E8" s="25">
        <f t="shared" si="0"/>
        <v>3.4272735679999999</v>
      </c>
      <c r="F8" s="25">
        <f t="shared" si="1"/>
        <v>3.3276025819999999</v>
      </c>
    </row>
    <row r="9" spans="1:12" x14ac:dyDescent="0.2">
      <c r="A9" s="44">
        <v>36647</v>
      </c>
      <c r="B9" s="32">
        <v>3.6357526739999999</v>
      </c>
      <c r="E9" s="25">
        <f t="shared" si="0"/>
        <v>3.5302095370000002</v>
      </c>
      <c r="F9" s="25">
        <f t="shared" si="1"/>
        <v>3.4272735679999999</v>
      </c>
    </row>
    <row r="10" spans="1:12" x14ac:dyDescent="0.2">
      <c r="A10" s="44">
        <v>36678</v>
      </c>
      <c r="B10" s="32">
        <v>3.7285308060000002</v>
      </c>
      <c r="E10" s="25">
        <f t="shared" si="0"/>
        <v>3.6357526739999999</v>
      </c>
      <c r="F10" s="25">
        <f t="shared" si="1"/>
        <v>3.5302095370000002</v>
      </c>
    </row>
    <row r="11" spans="1:12" x14ac:dyDescent="0.2">
      <c r="A11" s="44">
        <v>36708</v>
      </c>
      <c r="B11" s="32">
        <v>3.8046348619999999</v>
      </c>
      <c r="E11" s="25">
        <f t="shared" si="0"/>
        <v>3.7285308060000002</v>
      </c>
      <c r="F11" s="25">
        <f t="shared" si="1"/>
        <v>3.6357526739999999</v>
      </c>
    </row>
    <row r="12" spans="1:12" x14ac:dyDescent="0.2">
      <c r="A12" s="44">
        <v>36739</v>
      </c>
      <c r="B12" s="32">
        <v>3.86290442</v>
      </c>
      <c r="E12" s="25">
        <f t="shared" si="0"/>
        <v>3.8046348619999999</v>
      </c>
      <c r="F12" s="25">
        <f t="shared" si="1"/>
        <v>3.7285308060000002</v>
      </c>
    </row>
    <row r="13" spans="1:12" x14ac:dyDescent="0.2">
      <c r="A13" s="44">
        <v>36770</v>
      </c>
      <c r="B13" s="32">
        <v>4.2576910459999997</v>
      </c>
      <c r="E13" s="25">
        <f t="shared" si="0"/>
        <v>3.86290442</v>
      </c>
      <c r="F13" s="25">
        <f t="shared" si="1"/>
        <v>3.8046348619999999</v>
      </c>
    </row>
    <row r="14" spans="1:12" x14ac:dyDescent="0.2">
      <c r="A14" s="44">
        <v>36800</v>
      </c>
      <c r="B14" s="32">
        <v>4.5211703920000001</v>
      </c>
      <c r="E14" s="25">
        <f t="shared" si="0"/>
        <v>4.2576910459999997</v>
      </c>
      <c r="F14" s="25">
        <f t="shared" si="1"/>
        <v>3.86290442</v>
      </c>
    </row>
    <row r="15" spans="1:12" x14ac:dyDescent="0.2">
      <c r="A15" s="44">
        <v>36831</v>
      </c>
      <c r="B15" s="32">
        <v>4.6791907239999997</v>
      </c>
      <c r="E15" s="25">
        <f t="shared" si="0"/>
        <v>4.5211703920000001</v>
      </c>
      <c r="F15" s="25">
        <f t="shared" si="1"/>
        <v>4.2576910459999997</v>
      </c>
    </row>
    <row r="16" spans="1:12" x14ac:dyDescent="0.2">
      <c r="A16" s="44">
        <v>36861</v>
      </c>
      <c r="B16" s="32">
        <v>4.5198960789999996</v>
      </c>
      <c r="E16" s="25">
        <f t="shared" si="0"/>
        <v>4.6791907239999997</v>
      </c>
      <c r="F16" s="25">
        <f t="shared" si="1"/>
        <v>4.5211703920000001</v>
      </c>
    </row>
    <row r="17" spans="1:6" x14ac:dyDescent="0.2">
      <c r="A17" s="44">
        <v>36892</v>
      </c>
      <c r="B17" s="32">
        <v>4.694050818</v>
      </c>
      <c r="C17" s="32">
        <v>3.7</v>
      </c>
      <c r="E17" s="25">
        <f t="shared" si="0"/>
        <v>4.5198960789999996</v>
      </c>
      <c r="F17" s="25">
        <f t="shared" si="1"/>
        <v>4.6791907239999997</v>
      </c>
    </row>
    <row r="18" spans="1:6" x14ac:dyDescent="0.2">
      <c r="A18" s="44">
        <v>36923</v>
      </c>
      <c r="B18" s="32">
        <v>3.7911114760000002</v>
      </c>
      <c r="C18" s="34" t="s">
        <v>0</v>
      </c>
      <c r="E18" s="25">
        <f t="shared" si="0"/>
        <v>4.694050818</v>
      </c>
      <c r="F18" s="25">
        <f t="shared" si="1"/>
        <v>4.5198960789999996</v>
      </c>
    </row>
    <row r="19" spans="1:6" x14ac:dyDescent="0.2">
      <c r="A19" s="44">
        <v>36951</v>
      </c>
      <c r="B19" s="35">
        <v>3.5327633399999998</v>
      </c>
      <c r="C19" s="34" t="s">
        <v>0</v>
      </c>
      <c r="E19" s="25">
        <f t="shared" si="0"/>
        <v>3.7911114760000002</v>
      </c>
      <c r="F19" s="25">
        <f t="shared" si="1"/>
        <v>4.694050818</v>
      </c>
    </row>
    <row r="20" spans="1:6" x14ac:dyDescent="0.2">
      <c r="A20" s="44">
        <v>36982</v>
      </c>
      <c r="B20" s="35">
        <v>3.5246542910000001</v>
      </c>
      <c r="C20" s="34" t="s">
        <v>0</v>
      </c>
      <c r="E20" s="25">
        <f t="shared" si="0"/>
        <v>3.5327633399999998</v>
      </c>
      <c r="F20" s="25">
        <f t="shared" si="1"/>
        <v>3.7911114760000002</v>
      </c>
    </row>
    <row r="21" spans="1:6" x14ac:dyDescent="0.2">
      <c r="A21" s="44">
        <v>37012</v>
      </c>
      <c r="B21" s="35">
        <v>3.7467350599999998</v>
      </c>
      <c r="C21" s="34" t="s">
        <v>0</v>
      </c>
      <c r="E21" s="25">
        <f t="shared" si="0"/>
        <v>3.5246542910000001</v>
      </c>
      <c r="F21" s="25">
        <f t="shared" si="1"/>
        <v>3.5327633399999998</v>
      </c>
    </row>
    <row r="22" spans="1:6" x14ac:dyDescent="0.2">
      <c r="A22" s="44">
        <v>37043</v>
      </c>
      <c r="B22" s="35">
        <v>3.561291384</v>
      </c>
      <c r="C22" s="34" t="s">
        <v>0</v>
      </c>
      <c r="E22" s="25">
        <f t="shared" si="0"/>
        <v>3.7467350599999998</v>
      </c>
      <c r="F22" s="25">
        <f t="shared" si="1"/>
        <v>3.5246542910000001</v>
      </c>
    </row>
    <row r="23" spans="1:6" x14ac:dyDescent="0.2">
      <c r="A23" s="44">
        <v>37073</v>
      </c>
      <c r="B23" s="35">
        <v>3.2148764270000001</v>
      </c>
      <c r="C23" s="34" t="s">
        <v>0</v>
      </c>
      <c r="E23" s="25">
        <f t="shared" si="0"/>
        <v>3.561291384</v>
      </c>
      <c r="F23" s="25">
        <f t="shared" si="1"/>
        <v>3.7467350599999998</v>
      </c>
    </row>
    <row r="24" spans="1:6" x14ac:dyDescent="0.2">
      <c r="A24" s="44">
        <v>37104</v>
      </c>
      <c r="B24" s="35">
        <v>3.7731704339999999</v>
      </c>
      <c r="C24" s="34" t="s">
        <v>0</v>
      </c>
      <c r="E24" s="25">
        <f t="shared" si="0"/>
        <v>3.2148764270000001</v>
      </c>
      <c r="F24" s="25">
        <f t="shared" si="1"/>
        <v>3.561291384</v>
      </c>
    </row>
    <row r="25" spans="1:6" x14ac:dyDescent="0.2">
      <c r="A25" s="44">
        <v>37135</v>
      </c>
      <c r="B25" s="35">
        <v>3.9018127410000001</v>
      </c>
      <c r="C25" s="32">
        <v>3.6</v>
      </c>
      <c r="E25" s="25">
        <f t="shared" si="0"/>
        <v>3.7731704339999999</v>
      </c>
      <c r="F25" s="25">
        <f t="shared" si="1"/>
        <v>3.2148764270000001</v>
      </c>
    </row>
    <row r="26" spans="1:6" x14ac:dyDescent="0.2">
      <c r="A26" s="44">
        <v>37165</v>
      </c>
      <c r="B26" s="35">
        <v>3.4089152010000001</v>
      </c>
      <c r="C26" s="32">
        <v>3.8</v>
      </c>
      <c r="E26" s="25">
        <f t="shared" si="0"/>
        <v>3.9018127410000001</v>
      </c>
      <c r="F26" s="25">
        <f t="shared" si="1"/>
        <v>3.7731704339999999</v>
      </c>
    </row>
    <row r="27" spans="1:6" x14ac:dyDescent="0.2">
      <c r="A27" s="44">
        <v>37196</v>
      </c>
      <c r="B27" s="35">
        <v>3.0589446090000001</v>
      </c>
      <c r="C27" s="32">
        <v>3.9</v>
      </c>
      <c r="E27" s="25">
        <f t="shared" si="0"/>
        <v>3.4089152010000001</v>
      </c>
      <c r="F27" s="25">
        <f t="shared" si="1"/>
        <v>3.9018127410000001</v>
      </c>
    </row>
    <row r="28" spans="1:6" x14ac:dyDescent="0.2">
      <c r="A28" s="44">
        <v>37226</v>
      </c>
      <c r="B28" s="35">
        <v>2.633621883</v>
      </c>
      <c r="C28" s="32">
        <v>3.5</v>
      </c>
      <c r="E28" s="25">
        <f t="shared" si="0"/>
        <v>3.0589446090000001</v>
      </c>
      <c r="F28" s="25">
        <f t="shared" si="1"/>
        <v>3.4089152010000001</v>
      </c>
    </row>
    <row r="29" spans="1:6" x14ac:dyDescent="0.2">
      <c r="A29" s="44">
        <v>37257</v>
      </c>
      <c r="B29" s="35">
        <v>2.2102109849999998</v>
      </c>
      <c r="C29" s="32">
        <v>3.2</v>
      </c>
      <c r="E29" s="25">
        <f t="shared" si="0"/>
        <v>2.633621883</v>
      </c>
      <c r="F29" s="25">
        <f t="shared" si="1"/>
        <v>3.0589446090000001</v>
      </c>
    </row>
    <row r="30" spans="1:6" x14ac:dyDescent="0.2">
      <c r="A30" s="44">
        <v>37288</v>
      </c>
      <c r="B30" s="35">
        <v>2.5296612230000002</v>
      </c>
      <c r="C30" s="32">
        <v>3.1</v>
      </c>
      <c r="E30" s="25">
        <f t="shared" si="0"/>
        <v>2.2102109849999998</v>
      </c>
      <c r="F30" s="25">
        <f t="shared" si="1"/>
        <v>2.633621883</v>
      </c>
    </row>
    <row r="31" spans="1:6" x14ac:dyDescent="0.2">
      <c r="A31" s="44">
        <v>37316</v>
      </c>
      <c r="B31" s="35">
        <v>2.5768234589999999</v>
      </c>
      <c r="C31" s="32">
        <v>3</v>
      </c>
      <c r="E31" s="25">
        <f t="shared" si="0"/>
        <v>2.5296612230000002</v>
      </c>
      <c r="F31" s="25">
        <f t="shared" si="1"/>
        <v>2.2102109849999998</v>
      </c>
    </row>
    <row r="32" spans="1:6" x14ac:dyDescent="0.2">
      <c r="A32" s="44">
        <v>37347</v>
      </c>
      <c r="B32" s="35">
        <v>2.483862309</v>
      </c>
      <c r="C32" s="32">
        <v>3.1</v>
      </c>
      <c r="E32" s="25">
        <f t="shared" si="0"/>
        <v>2.5768234589999999</v>
      </c>
      <c r="F32" s="25">
        <f t="shared" si="1"/>
        <v>2.5296612230000002</v>
      </c>
    </row>
    <row r="33" spans="1:6" x14ac:dyDescent="0.2">
      <c r="A33" s="44">
        <v>37377</v>
      </c>
      <c r="B33" s="35">
        <v>2.132392104</v>
      </c>
      <c r="C33" s="32">
        <v>3</v>
      </c>
      <c r="E33" s="25">
        <f t="shared" si="0"/>
        <v>2.483862309</v>
      </c>
      <c r="F33" s="25">
        <f t="shared" si="1"/>
        <v>2.5768234589999999</v>
      </c>
    </row>
    <row r="34" spans="1:6" x14ac:dyDescent="0.2">
      <c r="A34" s="44">
        <v>37408</v>
      </c>
      <c r="B34" s="35">
        <v>1.9484491289999999</v>
      </c>
      <c r="C34" s="32">
        <v>2.8</v>
      </c>
      <c r="E34" s="25">
        <f t="shared" si="0"/>
        <v>2.132392104</v>
      </c>
      <c r="F34" s="25">
        <f t="shared" si="1"/>
        <v>2.483862309</v>
      </c>
    </row>
    <row r="35" spans="1:6" x14ac:dyDescent="0.2">
      <c r="A35" s="44">
        <v>37438</v>
      </c>
      <c r="B35" s="35">
        <v>2.6000146310000001</v>
      </c>
      <c r="C35" s="32">
        <v>2.8</v>
      </c>
      <c r="E35" s="25">
        <f t="shared" si="0"/>
        <v>1.9484491289999999</v>
      </c>
      <c r="F35" s="25">
        <f t="shared" si="1"/>
        <v>2.132392104</v>
      </c>
    </row>
    <row r="36" spans="1:6" x14ac:dyDescent="0.2">
      <c r="A36" s="44">
        <v>37469</v>
      </c>
      <c r="B36" s="35">
        <v>2.1761916549999998</v>
      </c>
      <c r="C36" s="32">
        <v>2.6</v>
      </c>
      <c r="E36" s="25">
        <f t="shared" si="0"/>
        <v>2.6000146310000001</v>
      </c>
      <c r="F36" s="25">
        <f t="shared" si="1"/>
        <v>1.9484491289999999</v>
      </c>
    </row>
    <row r="37" spans="1:6" x14ac:dyDescent="0.2">
      <c r="A37" s="44">
        <v>37500</v>
      </c>
      <c r="B37" s="35">
        <v>2.2926394760000002</v>
      </c>
      <c r="C37" s="32">
        <v>2.7</v>
      </c>
      <c r="E37" s="25">
        <f t="shared" si="0"/>
        <v>2.1761916549999998</v>
      </c>
      <c r="F37" s="25">
        <f t="shared" si="1"/>
        <v>2.6000146310000001</v>
      </c>
    </row>
    <row r="38" spans="1:6" x14ac:dyDescent="0.2">
      <c r="A38" s="44">
        <v>37530</v>
      </c>
      <c r="B38" s="35">
        <v>3.06035974</v>
      </c>
      <c r="C38" s="32">
        <v>3</v>
      </c>
      <c r="E38" s="25">
        <f t="shared" si="0"/>
        <v>2.2926394760000002</v>
      </c>
      <c r="F38" s="25">
        <f t="shared" si="1"/>
        <v>2.1761916549999998</v>
      </c>
    </row>
    <row r="39" spans="1:6" x14ac:dyDescent="0.2">
      <c r="A39" s="44">
        <v>37561</v>
      </c>
      <c r="B39" s="35">
        <v>2.9807972820000002</v>
      </c>
      <c r="C39" s="32">
        <v>3</v>
      </c>
      <c r="E39" s="25">
        <f t="shared" si="0"/>
        <v>3.06035974</v>
      </c>
      <c r="F39" s="25">
        <f t="shared" si="1"/>
        <v>2.2926394760000002</v>
      </c>
    </row>
    <row r="40" spans="1:6" x14ac:dyDescent="0.2">
      <c r="A40" s="44">
        <v>37591</v>
      </c>
      <c r="B40" s="35">
        <v>2.8442239659999999</v>
      </c>
      <c r="C40" s="32">
        <v>3</v>
      </c>
      <c r="E40" s="25">
        <f t="shared" si="0"/>
        <v>2.9807972820000002</v>
      </c>
      <c r="F40" s="25">
        <f t="shared" si="1"/>
        <v>3.06035974</v>
      </c>
    </row>
    <row r="41" spans="1:6" x14ac:dyDescent="0.2">
      <c r="A41" s="44">
        <v>37622</v>
      </c>
      <c r="B41" s="35">
        <v>3.0245819599999999</v>
      </c>
      <c r="C41" s="32">
        <v>3</v>
      </c>
      <c r="E41" s="25">
        <f t="shared" si="0"/>
        <v>2.8442239659999999</v>
      </c>
      <c r="F41" s="25">
        <f t="shared" si="1"/>
        <v>2.9807972820000002</v>
      </c>
    </row>
    <row r="42" spans="1:6" x14ac:dyDescent="0.2">
      <c r="A42" s="44">
        <v>37653</v>
      </c>
      <c r="B42" s="35">
        <v>3.8320310649999998</v>
      </c>
      <c r="C42" s="32">
        <v>3</v>
      </c>
      <c r="E42" s="25">
        <f t="shared" si="0"/>
        <v>3.0245819599999999</v>
      </c>
      <c r="F42" s="25">
        <f t="shared" si="1"/>
        <v>2.8442239659999999</v>
      </c>
    </row>
    <row r="43" spans="1:6" x14ac:dyDescent="0.2">
      <c r="A43" s="44">
        <v>37681</v>
      </c>
      <c r="B43" s="35">
        <v>4.4947572600000001</v>
      </c>
      <c r="C43" s="32">
        <v>3</v>
      </c>
      <c r="E43" s="25">
        <f t="shared" si="0"/>
        <v>3.8320310649999998</v>
      </c>
      <c r="F43" s="25">
        <f t="shared" si="1"/>
        <v>3.0245819599999999</v>
      </c>
    </row>
    <row r="44" spans="1:6" x14ac:dyDescent="0.2">
      <c r="A44" s="44">
        <v>37712</v>
      </c>
      <c r="B44" s="35">
        <v>4.0014362620000004</v>
      </c>
      <c r="C44" s="32">
        <v>3</v>
      </c>
      <c r="E44" s="25">
        <f t="shared" si="0"/>
        <v>4.4947572600000001</v>
      </c>
      <c r="F44" s="25">
        <f t="shared" si="1"/>
        <v>3.8320310649999998</v>
      </c>
    </row>
    <row r="45" spans="1:6" x14ac:dyDescent="0.2">
      <c r="A45" s="44">
        <v>37742</v>
      </c>
      <c r="B45" s="35">
        <v>3.5069667369999999</v>
      </c>
      <c r="C45" s="32">
        <v>2.9</v>
      </c>
      <c r="E45" s="25">
        <f t="shared" si="0"/>
        <v>4.0014362620000004</v>
      </c>
      <c r="F45" s="25">
        <f t="shared" si="1"/>
        <v>4.4947572600000001</v>
      </c>
    </row>
    <row r="46" spans="1:6" x14ac:dyDescent="0.2">
      <c r="A46" s="44">
        <v>37773</v>
      </c>
      <c r="B46" s="35">
        <v>3.6386787279999999</v>
      </c>
      <c r="C46" s="32">
        <v>2.9</v>
      </c>
      <c r="E46" s="25">
        <f t="shared" si="0"/>
        <v>3.5069667369999999</v>
      </c>
      <c r="F46" s="25">
        <f t="shared" si="1"/>
        <v>4.0014362620000004</v>
      </c>
    </row>
    <row r="47" spans="1:6" x14ac:dyDescent="0.2">
      <c r="A47" s="44">
        <v>37803</v>
      </c>
      <c r="B47" s="35">
        <v>3.093054253</v>
      </c>
      <c r="C47" s="32">
        <v>3.1</v>
      </c>
      <c r="E47" s="25">
        <f t="shared" si="0"/>
        <v>3.6386787279999999</v>
      </c>
      <c r="F47" s="25">
        <f t="shared" si="1"/>
        <v>3.5069667369999999</v>
      </c>
    </row>
    <row r="48" spans="1:6" x14ac:dyDescent="0.2">
      <c r="A48" s="44">
        <v>37834</v>
      </c>
      <c r="B48" s="35">
        <v>2.8687406379999998</v>
      </c>
      <c r="C48" s="32">
        <v>3</v>
      </c>
      <c r="E48" s="25">
        <f t="shared" si="0"/>
        <v>3.093054253</v>
      </c>
      <c r="F48" s="25">
        <f t="shared" si="1"/>
        <v>3.6386787279999999</v>
      </c>
    </row>
    <row r="49" spans="1:6" x14ac:dyDescent="0.2">
      <c r="A49" s="44">
        <v>37865</v>
      </c>
      <c r="B49" s="35">
        <v>2.2004787540000001</v>
      </c>
      <c r="C49" s="32">
        <v>3.2</v>
      </c>
      <c r="E49" s="25">
        <f t="shared" si="0"/>
        <v>2.8687406379999998</v>
      </c>
      <c r="F49" s="25">
        <f t="shared" si="1"/>
        <v>3.093054253</v>
      </c>
    </row>
    <row r="50" spans="1:6" x14ac:dyDescent="0.2">
      <c r="A50" s="44">
        <v>37895</v>
      </c>
      <c r="B50" s="35">
        <v>1.151487167</v>
      </c>
      <c r="C50" s="32">
        <v>3</v>
      </c>
      <c r="E50" s="25">
        <f t="shared" si="0"/>
        <v>2.2004787540000001</v>
      </c>
      <c r="F50" s="25">
        <f t="shared" si="1"/>
        <v>2.8687406379999998</v>
      </c>
    </row>
    <row r="51" spans="1:6" x14ac:dyDescent="0.2">
      <c r="A51" s="44">
        <v>37926</v>
      </c>
      <c r="B51" s="35">
        <v>0.92309418600000004</v>
      </c>
      <c r="C51" s="32">
        <v>2.5</v>
      </c>
      <c r="D51" s="32"/>
      <c r="E51" s="25">
        <f t="shared" si="0"/>
        <v>1.151487167</v>
      </c>
      <c r="F51" s="25">
        <f t="shared" si="1"/>
        <v>2.2004787540000001</v>
      </c>
    </row>
    <row r="52" spans="1:6" x14ac:dyDescent="0.2">
      <c r="A52" s="44">
        <v>37956</v>
      </c>
      <c r="B52" s="35">
        <v>1.044651349</v>
      </c>
      <c r="C52" s="32">
        <v>2.2999999999999998</v>
      </c>
      <c r="D52" s="32"/>
      <c r="E52" s="25">
        <f t="shared" si="0"/>
        <v>0.92309418600000004</v>
      </c>
      <c r="F52" s="25">
        <f t="shared" si="1"/>
        <v>1.151487167</v>
      </c>
    </row>
    <row r="53" spans="1:6" x14ac:dyDescent="0.2">
      <c r="A53" s="44">
        <v>37987</v>
      </c>
      <c r="B53" s="35">
        <v>0.76684437299999997</v>
      </c>
      <c r="C53" s="32">
        <v>2</v>
      </c>
      <c r="D53" s="32"/>
      <c r="E53" s="25">
        <f t="shared" si="0"/>
        <v>1.044651349</v>
      </c>
      <c r="F53" s="25">
        <f t="shared" si="1"/>
        <v>0.92309418600000004</v>
      </c>
    </row>
    <row r="54" spans="1:6" x14ac:dyDescent="0.2">
      <c r="A54" s="44">
        <v>38018</v>
      </c>
      <c r="B54" s="35">
        <v>-1.0583085000000001E-2</v>
      </c>
      <c r="C54" s="32">
        <v>2.1</v>
      </c>
      <c r="D54" s="32"/>
      <c r="E54" s="25">
        <f t="shared" si="0"/>
        <v>0.76684437299999997</v>
      </c>
      <c r="F54" s="25">
        <f t="shared" si="1"/>
        <v>1.044651349</v>
      </c>
    </row>
    <row r="55" spans="1:6" x14ac:dyDescent="0.2">
      <c r="A55" s="44">
        <v>38047</v>
      </c>
      <c r="B55" s="35">
        <v>-0.75137248800000001</v>
      </c>
      <c r="C55" s="32">
        <v>2.2000000000000002</v>
      </c>
      <c r="D55" s="32"/>
      <c r="E55" s="25">
        <f t="shared" si="0"/>
        <v>-1.0583085000000001E-2</v>
      </c>
      <c r="F55" s="25">
        <f t="shared" si="1"/>
        <v>0.76684437299999997</v>
      </c>
    </row>
    <row r="56" spans="1:6" x14ac:dyDescent="0.2">
      <c r="A56" s="44">
        <v>38078</v>
      </c>
      <c r="B56" s="35">
        <v>-0.29596737200000001</v>
      </c>
      <c r="C56" s="32">
        <v>2.4</v>
      </c>
      <c r="D56" s="32"/>
      <c r="E56" s="25">
        <f t="shared" si="0"/>
        <v>-0.75137248800000001</v>
      </c>
      <c r="F56" s="25">
        <f t="shared" si="1"/>
        <v>-1.0583085000000001E-2</v>
      </c>
    </row>
    <row r="57" spans="1:6" x14ac:dyDescent="0.2">
      <c r="A57" s="44">
        <v>38108</v>
      </c>
      <c r="B57" s="35">
        <v>0.62111017400000001</v>
      </c>
      <c r="C57" s="32">
        <v>2.5</v>
      </c>
      <c r="D57" s="32"/>
      <c r="E57" s="25">
        <f t="shared" si="0"/>
        <v>-0.29596737200000001</v>
      </c>
      <c r="F57" s="25">
        <f t="shared" si="1"/>
        <v>-0.75137248800000001</v>
      </c>
    </row>
    <row r="58" spans="1:6" x14ac:dyDescent="0.2">
      <c r="A58" s="44">
        <v>38139</v>
      </c>
      <c r="B58" s="35">
        <v>1.055754428</v>
      </c>
      <c r="C58" s="32">
        <v>2.6</v>
      </c>
      <c r="D58" s="32"/>
      <c r="E58" s="25">
        <f t="shared" si="0"/>
        <v>0.62111017400000001</v>
      </c>
      <c r="F58" s="25">
        <f t="shared" si="1"/>
        <v>-0.29596737200000001</v>
      </c>
    </row>
    <row r="59" spans="1:6" x14ac:dyDescent="0.2">
      <c r="A59" s="44">
        <v>38169</v>
      </c>
      <c r="B59" s="35">
        <v>1.3778155299999999</v>
      </c>
      <c r="C59" s="32">
        <v>2.5</v>
      </c>
      <c r="D59" s="32"/>
      <c r="E59" s="25">
        <f t="shared" si="0"/>
        <v>1.055754428</v>
      </c>
      <c r="F59" s="25">
        <f t="shared" si="1"/>
        <v>0.62111017400000001</v>
      </c>
    </row>
    <row r="60" spans="1:6" x14ac:dyDescent="0.2">
      <c r="A60" s="44">
        <v>38200</v>
      </c>
      <c r="B60" s="35">
        <v>1.5955762060000001</v>
      </c>
      <c r="C60" s="32">
        <v>2.6</v>
      </c>
      <c r="D60" s="32"/>
      <c r="E60" s="25">
        <f t="shared" si="0"/>
        <v>1.3778155299999999</v>
      </c>
      <c r="F60" s="25">
        <f t="shared" si="1"/>
        <v>1.055754428</v>
      </c>
    </row>
    <row r="61" spans="1:6" x14ac:dyDescent="0.2">
      <c r="A61" s="44">
        <v>38231</v>
      </c>
      <c r="B61" s="35">
        <v>1.461946586</v>
      </c>
      <c r="C61" s="32">
        <v>2.8</v>
      </c>
      <c r="D61" s="32"/>
      <c r="E61" s="25">
        <f t="shared" si="0"/>
        <v>1.5955762060000001</v>
      </c>
      <c r="F61" s="25">
        <f t="shared" si="1"/>
        <v>1.3778155299999999</v>
      </c>
    </row>
    <row r="62" spans="1:6" x14ac:dyDescent="0.2">
      <c r="A62" s="44">
        <v>38261</v>
      </c>
      <c r="B62" s="35">
        <v>1.9130358139999999</v>
      </c>
      <c r="C62" s="32">
        <v>3</v>
      </c>
      <c r="D62" s="32"/>
      <c r="E62" s="25">
        <f t="shared" si="0"/>
        <v>1.461946586</v>
      </c>
      <c r="F62" s="25">
        <f t="shared" si="1"/>
        <v>1.5955762060000001</v>
      </c>
    </row>
    <row r="63" spans="1:6" x14ac:dyDescent="0.2">
      <c r="A63" s="44">
        <v>38292</v>
      </c>
      <c r="B63" s="35">
        <v>2.4830099410000002</v>
      </c>
      <c r="C63" s="32">
        <v>2.9</v>
      </c>
      <c r="D63" s="32"/>
      <c r="E63" s="25">
        <f t="shared" si="0"/>
        <v>1.9130358139999999</v>
      </c>
      <c r="F63" s="25">
        <f t="shared" si="1"/>
        <v>1.461946586</v>
      </c>
    </row>
    <row r="64" spans="1:6" x14ac:dyDescent="0.2">
      <c r="A64" s="44">
        <v>38322</v>
      </c>
      <c r="B64" s="35">
        <v>2.4210260610000001</v>
      </c>
      <c r="C64" s="32">
        <v>2.8</v>
      </c>
      <c r="D64" s="32"/>
      <c r="E64" s="25">
        <f t="shared" si="0"/>
        <v>2.4830099410000002</v>
      </c>
      <c r="F64" s="25">
        <f t="shared" si="1"/>
        <v>1.9130358139999999</v>
      </c>
    </row>
    <row r="65" spans="1:6" x14ac:dyDescent="0.2">
      <c r="A65" s="44">
        <v>38353</v>
      </c>
      <c r="B65" s="35">
        <v>2.2877997780000001</v>
      </c>
      <c r="C65" s="32">
        <v>2.7</v>
      </c>
      <c r="D65" s="32"/>
      <c r="E65" s="25">
        <f t="shared" si="0"/>
        <v>2.4210260610000001</v>
      </c>
      <c r="F65" s="25">
        <f t="shared" si="1"/>
        <v>2.4830099410000002</v>
      </c>
    </row>
    <row r="66" spans="1:6" x14ac:dyDescent="0.2">
      <c r="A66" s="44">
        <v>38384</v>
      </c>
      <c r="B66" s="35">
        <v>2.1815860890000001</v>
      </c>
      <c r="C66" s="32">
        <v>2.6</v>
      </c>
      <c r="D66" s="32"/>
      <c r="E66" s="25">
        <f t="shared" si="0"/>
        <v>2.2877997780000001</v>
      </c>
      <c r="F66" s="25">
        <f t="shared" si="1"/>
        <v>2.4210260610000001</v>
      </c>
    </row>
    <row r="67" spans="1:6" x14ac:dyDescent="0.2">
      <c r="A67" s="44">
        <v>38412</v>
      </c>
      <c r="B67" s="35">
        <v>2.4038656669999998</v>
      </c>
      <c r="C67" s="32">
        <v>2.7</v>
      </c>
      <c r="D67" s="32"/>
      <c r="E67" s="25">
        <f t="shared" si="0"/>
        <v>2.1815860890000001</v>
      </c>
      <c r="F67" s="25">
        <f t="shared" si="1"/>
        <v>2.2877997780000001</v>
      </c>
    </row>
    <row r="68" spans="1:6" x14ac:dyDescent="0.2">
      <c r="A68" s="44">
        <v>38443</v>
      </c>
      <c r="B68" s="35">
        <v>2.9504499150000001</v>
      </c>
      <c r="C68" s="32">
        <v>2.8</v>
      </c>
      <c r="D68" s="32"/>
      <c r="E68" s="25">
        <f t="shared" si="0"/>
        <v>2.4038656669999998</v>
      </c>
      <c r="F68" s="25">
        <f t="shared" si="1"/>
        <v>2.1815860890000001</v>
      </c>
    </row>
    <row r="69" spans="1:6" x14ac:dyDescent="0.2">
      <c r="A69" s="44">
        <v>38473</v>
      </c>
      <c r="B69" s="35">
        <v>2.6835984050000001</v>
      </c>
      <c r="C69" s="32">
        <v>2.9</v>
      </c>
      <c r="D69" s="32">
        <v>3</v>
      </c>
      <c r="E69" s="25">
        <f t="shared" ref="E69:E132" si="2">B68</f>
        <v>2.9504499150000001</v>
      </c>
      <c r="F69" s="25">
        <f t="shared" si="1"/>
        <v>2.4038656669999998</v>
      </c>
    </row>
    <row r="70" spans="1:6" x14ac:dyDescent="0.2">
      <c r="A70" s="44">
        <v>38504</v>
      </c>
      <c r="B70" s="35">
        <v>2.6601725599999999</v>
      </c>
      <c r="C70" s="32">
        <v>3</v>
      </c>
      <c r="D70" s="32">
        <v>3</v>
      </c>
      <c r="E70" s="25">
        <f t="shared" si="2"/>
        <v>2.6835984050000001</v>
      </c>
      <c r="F70" s="25">
        <f t="shared" ref="F70:F133" si="3">B68</f>
        <v>2.9504499150000001</v>
      </c>
    </row>
    <row r="71" spans="1:6" x14ac:dyDescent="0.2">
      <c r="A71" s="44">
        <v>38534</v>
      </c>
      <c r="B71" s="35">
        <v>3.054786848</v>
      </c>
      <c r="C71" s="32">
        <v>2.9</v>
      </c>
      <c r="D71" s="32">
        <v>3</v>
      </c>
      <c r="E71" s="25">
        <f t="shared" si="2"/>
        <v>2.6601725599999999</v>
      </c>
      <c r="F71" s="25">
        <f t="shared" si="3"/>
        <v>2.6835984050000001</v>
      </c>
    </row>
    <row r="72" spans="1:6" x14ac:dyDescent="0.2">
      <c r="A72" s="44">
        <v>38565</v>
      </c>
      <c r="B72" s="35">
        <v>2.9634008949999999</v>
      </c>
      <c r="C72" s="32">
        <v>3</v>
      </c>
      <c r="D72" s="32">
        <v>3.3</v>
      </c>
      <c r="E72" s="25">
        <f t="shared" si="2"/>
        <v>3.054786848</v>
      </c>
      <c r="F72" s="25">
        <f t="shared" si="3"/>
        <v>2.6601725599999999</v>
      </c>
    </row>
    <row r="73" spans="1:6" x14ac:dyDescent="0.2">
      <c r="A73" s="44">
        <v>38596</v>
      </c>
      <c r="B73" s="35">
        <v>3.9622246840000002</v>
      </c>
      <c r="C73" s="32">
        <v>3.2</v>
      </c>
      <c r="D73" s="32">
        <v>3.5</v>
      </c>
      <c r="E73" s="25">
        <f t="shared" si="2"/>
        <v>2.9634008949999999</v>
      </c>
      <c r="F73" s="25">
        <f t="shared" si="3"/>
        <v>3.054786848</v>
      </c>
    </row>
    <row r="74" spans="1:6" x14ac:dyDescent="0.2">
      <c r="A74" s="44">
        <v>38626</v>
      </c>
      <c r="B74" s="35">
        <v>4.1531870550000001</v>
      </c>
      <c r="C74" s="32">
        <v>3.3</v>
      </c>
      <c r="D74" s="32">
        <v>4</v>
      </c>
      <c r="E74" s="25">
        <f t="shared" si="2"/>
        <v>3.9622246840000002</v>
      </c>
      <c r="F74" s="25">
        <f t="shared" si="3"/>
        <v>2.9634008949999999</v>
      </c>
    </row>
    <row r="75" spans="1:6" x14ac:dyDescent="0.2">
      <c r="A75" s="44">
        <v>38657</v>
      </c>
      <c r="B75" s="35">
        <v>3.6464189870000001</v>
      </c>
      <c r="C75" s="32">
        <v>3.1</v>
      </c>
      <c r="D75" s="32">
        <v>4</v>
      </c>
      <c r="E75" s="25">
        <f t="shared" si="2"/>
        <v>4.1531870550000001</v>
      </c>
      <c r="F75" s="25">
        <f t="shared" si="3"/>
        <v>3.9622246840000002</v>
      </c>
    </row>
    <row r="76" spans="1:6" x14ac:dyDescent="0.2">
      <c r="A76" s="44">
        <v>38687</v>
      </c>
      <c r="B76" s="35">
        <v>3.6665469439999998</v>
      </c>
      <c r="C76" s="32">
        <v>3</v>
      </c>
      <c r="D76" s="32">
        <v>4</v>
      </c>
      <c r="E76" s="25">
        <f t="shared" si="2"/>
        <v>3.6464189870000001</v>
      </c>
      <c r="F76" s="25">
        <f t="shared" si="3"/>
        <v>4.1531870550000001</v>
      </c>
    </row>
    <row r="77" spans="1:6" x14ac:dyDescent="0.2">
      <c r="A77" s="44">
        <v>38718</v>
      </c>
      <c r="B77" s="35">
        <v>4.0807329530000001</v>
      </c>
      <c r="C77" s="32">
        <v>3</v>
      </c>
      <c r="D77" s="32">
        <v>3.6</v>
      </c>
      <c r="E77" s="25">
        <f t="shared" si="2"/>
        <v>3.6665469439999998</v>
      </c>
      <c r="F77" s="25">
        <f t="shared" si="3"/>
        <v>3.6464189870000001</v>
      </c>
    </row>
    <row r="78" spans="1:6" x14ac:dyDescent="0.2">
      <c r="A78" s="44">
        <v>38749</v>
      </c>
      <c r="B78" s="35">
        <v>4.0783838100000001</v>
      </c>
      <c r="C78" s="32">
        <v>3.1</v>
      </c>
      <c r="D78" s="32">
        <v>3.8</v>
      </c>
      <c r="E78" s="25">
        <f t="shared" si="2"/>
        <v>4.0807329530000001</v>
      </c>
      <c r="F78" s="25">
        <f t="shared" si="3"/>
        <v>3.6665469439999998</v>
      </c>
    </row>
    <row r="79" spans="1:6" x14ac:dyDescent="0.2">
      <c r="A79" s="44">
        <v>38777</v>
      </c>
      <c r="B79" s="35">
        <v>4.0269411049999997</v>
      </c>
      <c r="C79" s="32">
        <v>3</v>
      </c>
      <c r="D79" s="32">
        <v>3.6</v>
      </c>
      <c r="E79" s="25">
        <f t="shared" si="2"/>
        <v>4.0783838100000001</v>
      </c>
      <c r="F79" s="25">
        <f t="shared" si="3"/>
        <v>4.0807329530000001</v>
      </c>
    </row>
    <row r="80" spans="1:6" x14ac:dyDescent="0.2">
      <c r="A80" s="44">
        <v>38808</v>
      </c>
      <c r="B80" s="35">
        <v>3.7684125129999999</v>
      </c>
      <c r="C80" s="32">
        <v>3</v>
      </c>
      <c r="D80" s="32">
        <v>3.8</v>
      </c>
      <c r="E80" s="25">
        <f t="shared" si="2"/>
        <v>4.0269411049999997</v>
      </c>
      <c r="F80" s="25">
        <f t="shared" si="3"/>
        <v>4.0783838100000001</v>
      </c>
    </row>
    <row r="81" spans="1:6" x14ac:dyDescent="0.2">
      <c r="A81" s="44">
        <v>38838</v>
      </c>
      <c r="B81" s="35">
        <v>3.7397829370000002</v>
      </c>
      <c r="C81" s="32">
        <v>3</v>
      </c>
      <c r="D81" s="32">
        <v>4</v>
      </c>
      <c r="E81" s="25">
        <f t="shared" si="2"/>
        <v>3.7684125129999999</v>
      </c>
      <c r="F81" s="25">
        <f t="shared" si="3"/>
        <v>4.0269411049999997</v>
      </c>
    </row>
    <row r="82" spans="1:6" x14ac:dyDescent="0.2">
      <c r="A82" s="44">
        <v>38869</v>
      </c>
      <c r="B82" s="35">
        <v>3.9252760109999998</v>
      </c>
      <c r="C82" s="32">
        <v>3</v>
      </c>
      <c r="D82" s="32">
        <v>3.8</v>
      </c>
      <c r="E82" s="25">
        <f t="shared" si="2"/>
        <v>3.7397829370000002</v>
      </c>
      <c r="F82" s="25">
        <f t="shared" si="3"/>
        <v>3.7684125129999999</v>
      </c>
    </row>
    <row r="83" spans="1:6" x14ac:dyDescent="0.2">
      <c r="A83" s="44">
        <v>38899</v>
      </c>
      <c r="B83" s="35">
        <v>3.8545605049999998</v>
      </c>
      <c r="C83" s="32">
        <v>3</v>
      </c>
      <c r="D83" s="32">
        <v>4</v>
      </c>
      <c r="E83" s="25">
        <f t="shared" si="2"/>
        <v>3.9252760109999998</v>
      </c>
      <c r="F83" s="25">
        <f t="shared" si="3"/>
        <v>3.7397829370000002</v>
      </c>
    </row>
    <row r="84" spans="1:6" x14ac:dyDescent="0.2">
      <c r="A84" s="44">
        <v>38930</v>
      </c>
      <c r="B84" s="35">
        <v>3.8143141109999998</v>
      </c>
      <c r="C84" s="32">
        <v>3.2</v>
      </c>
      <c r="D84" s="32">
        <v>4</v>
      </c>
      <c r="E84" s="25">
        <f t="shared" si="2"/>
        <v>3.8545605049999998</v>
      </c>
      <c r="F84" s="25">
        <f t="shared" si="3"/>
        <v>3.9252760109999998</v>
      </c>
    </row>
    <row r="85" spans="1:6" x14ac:dyDescent="0.2">
      <c r="A85" s="44">
        <v>38961</v>
      </c>
      <c r="B85" s="35">
        <v>2.777980136</v>
      </c>
      <c r="C85" s="32">
        <v>3</v>
      </c>
      <c r="D85" s="32">
        <v>4</v>
      </c>
      <c r="E85" s="25">
        <f t="shared" si="2"/>
        <v>3.8143141109999998</v>
      </c>
      <c r="F85" s="25">
        <f t="shared" si="3"/>
        <v>3.8545605049999998</v>
      </c>
    </row>
    <row r="86" spans="1:6" x14ac:dyDescent="0.2">
      <c r="A86" s="44">
        <v>38991</v>
      </c>
      <c r="B86" s="35">
        <v>2.0248900779999999</v>
      </c>
      <c r="C86" s="32">
        <v>2.7</v>
      </c>
      <c r="D86" s="32">
        <v>3.5</v>
      </c>
      <c r="E86" s="25">
        <f t="shared" si="2"/>
        <v>2.777980136</v>
      </c>
      <c r="F86" s="25">
        <f t="shared" si="3"/>
        <v>3.8143141109999998</v>
      </c>
    </row>
    <row r="87" spans="1:6" x14ac:dyDescent="0.2">
      <c r="A87" s="44">
        <v>39022</v>
      </c>
      <c r="B87" s="35">
        <v>2.092317521</v>
      </c>
      <c r="C87" s="32">
        <v>2.9</v>
      </c>
      <c r="D87" s="32">
        <v>3.5</v>
      </c>
      <c r="E87" s="25">
        <f t="shared" si="2"/>
        <v>2.0248900779999999</v>
      </c>
      <c r="F87" s="25">
        <f t="shared" si="3"/>
        <v>2.777980136</v>
      </c>
    </row>
    <row r="88" spans="1:6" x14ac:dyDescent="0.2">
      <c r="A88" s="44">
        <v>39052</v>
      </c>
      <c r="B88" s="35">
        <v>2.556428226</v>
      </c>
      <c r="C88" s="32">
        <v>2.9</v>
      </c>
      <c r="D88" s="32">
        <v>3.2</v>
      </c>
      <c r="E88" s="25">
        <f t="shared" si="2"/>
        <v>2.092317521</v>
      </c>
      <c r="F88" s="25">
        <f t="shared" si="3"/>
        <v>2.0248900779999999</v>
      </c>
    </row>
    <row r="89" spans="1:6" x14ac:dyDescent="0.2">
      <c r="A89" s="44">
        <v>39083</v>
      </c>
      <c r="B89" s="35">
        <v>2.7884722169999998</v>
      </c>
      <c r="C89" s="32">
        <v>3</v>
      </c>
      <c r="D89" s="32">
        <v>3</v>
      </c>
      <c r="E89" s="25">
        <f t="shared" si="2"/>
        <v>2.556428226</v>
      </c>
      <c r="F89" s="25">
        <f t="shared" si="3"/>
        <v>2.092317521</v>
      </c>
    </row>
    <row r="90" spans="1:6" x14ac:dyDescent="0.2">
      <c r="A90" s="44">
        <v>39114</v>
      </c>
      <c r="B90" s="35">
        <v>2.7040595700000001</v>
      </c>
      <c r="C90" s="32">
        <v>2.7</v>
      </c>
      <c r="D90" s="32">
        <v>3</v>
      </c>
      <c r="E90" s="25">
        <f t="shared" si="2"/>
        <v>2.7884722169999998</v>
      </c>
      <c r="F90" s="25">
        <f t="shared" si="3"/>
        <v>2.556428226</v>
      </c>
    </row>
    <row r="91" spans="1:6" x14ac:dyDescent="0.2">
      <c r="A91" s="44">
        <v>39142</v>
      </c>
      <c r="B91" s="35">
        <v>2.5425371459999999</v>
      </c>
      <c r="C91" s="32">
        <v>2.8</v>
      </c>
      <c r="D91" s="32">
        <v>3</v>
      </c>
      <c r="E91" s="25">
        <f t="shared" si="2"/>
        <v>2.7040595700000001</v>
      </c>
      <c r="F91" s="25">
        <f t="shared" si="3"/>
        <v>2.7884722169999998</v>
      </c>
    </row>
    <row r="92" spans="1:6" x14ac:dyDescent="0.2">
      <c r="A92" s="44">
        <v>39173</v>
      </c>
      <c r="B92" s="35">
        <v>2.4706647930000001</v>
      </c>
      <c r="C92" s="32">
        <v>2.9</v>
      </c>
      <c r="D92" s="32">
        <v>3</v>
      </c>
      <c r="E92" s="25">
        <f t="shared" si="2"/>
        <v>2.5425371459999999</v>
      </c>
      <c r="F92" s="25">
        <f t="shared" si="3"/>
        <v>2.7040595700000001</v>
      </c>
    </row>
    <row r="93" spans="1:6" x14ac:dyDescent="0.2">
      <c r="A93" s="44">
        <v>39203</v>
      </c>
      <c r="B93" s="35">
        <v>2.8586256259999998</v>
      </c>
      <c r="C93" s="32">
        <v>3</v>
      </c>
      <c r="D93" s="32">
        <v>3</v>
      </c>
      <c r="E93" s="25">
        <f t="shared" si="2"/>
        <v>2.4706647930000001</v>
      </c>
      <c r="F93" s="25">
        <f t="shared" si="3"/>
        <v>2.5425371459999999</v>
      </c>
    </row>
    <row r="94" spans="1:6" x14ac:dyDescent="0.2">
      <c r="A94" s="44">
        <v>39234</v>
      </c>
      <c r="B94" s="35">
        <v>3.214180008</v>
      </c>
      <c r="C94" s="32">
        <v>3</v>
      </c>
      <c r="D94" s="32">
        <v>3.1</v>
      </c>
      <c r="E94" s="25">
        <f t="shared" si="2"/>
        <v>2.8586256259999998</v>
      </c>
      <c r="F94" s="25">
        <f t="shared" si="3"/>
        <v>2.4706647930000001</v>
      </c>
    </row>
    <row r="95" spans="1:6" x14ac:dyDescent="0.2">
      <c r="A95" s="44">
        <v>39264</v>
      </c>
      <c r="B95" s="35">
        <v>3.8032176610000001</v>
      </c>
      <c r="C95" s="32">
        <v>3.2</v>
      </c>
      <c r="D95" s="32">
        <v>4</v>
      </c>
      <c r="E95" s="25">
        <f t="shared" si="2"/>
        <v>3.214180008</v>
      </c>
      <c r="F95" s="25">
        <f t="shared" si="3"/>
        <v>2.8586256259999998</v>
      </c>
    </row>
    <row r="96" spans="1:6" x14ac:dyDescent="0.2">
      <c r="A96" s="44">
        <v>39295</v>
      </c>
      <c r="B96" s="35">
        <v>4.6464361639999998</v>
      </c>
      <c r="C96" s="32">
        <v>3.5</v>
      </c>
      <c r="D96" s="32">
        <v>4.5</v>
      </c>
      <c r="E96" s="25">
        <f t="shared" si="2"/>
        <v>3.8032176610000001</v>
      </c>
      <c r="F96" s="25">
        <f t="shared" si="3"/>
        <v>3.214180008</v>
      </c>
    </row>
    <row r="97" spans="1:6" x14ac:dyDescent="0.2">
      <c r="A97" s="44">
        <v>39326</v>
      </c>
      <c r="B97" s="35">
        <v>5.7976560609999996</v>
      </c>
      <c r="C97" s="32">
        <v>3.5</v>
      </c>
      <c r="D97" s="32">
        <v>4.5</v>
      </c>
      <c r="E97" s="25">
        <f t="shared" si="2"/>
        <v>4.6464361639999998</v>
      </c>
      <c r="F97" s="25">
        <f t="shared" si="3"/>
        <v>3.8032176610000001</v>
      </c>
    </row>
    <row r="98" spans="1:6" x14ac:dyDescent="0.2">
      <c r="A98" s="44">
        <v>39356</v>
      </c>
      <c r="B98" s="35">
        <v>6.3979663789999996</v>
      </c>
      <c r="C98" s="32">
        <v>3.5</v>
      </c>
      <c r="D98" s="32">
        <v>5.4</v>
      </c>
      <c r="E98" s="25">
        <f t="shared" si="2"/>
        <v>5.7976560609999996</v>
      </c>
      <c r="F98" s="25">
        <f t="shared" si="3"/>
        <v>4.6464361639999998</v>
      </c>
    </row>
    <row r="99" spans="1:6" x14ac:dyDescent="0.2">
      <c r="A99" s="44">
        <v>39387</v>
      </c>
      <c r="B99" s="35">
        <v>7.3925627629999999</v>
      </c>
      <c r="C99" s="32">
        <v>3.5</v>
      </c>
      <c r="D99" s="32">
        <v>5</v>
      </c>
      <c r="E99" s="25">
        <f t="shared" si="2"/>
        <v>6.3979663789999996</v>
      </c>
      <c r="F99" s="25">
        <f t="shared" si="3"/>
        <v>5.7976560609999996</v>
      </c>
    </row>
    <row r="100" spans="1:6" x14ac:dyDescent="0.2">
      <c r="A100" s="44">
        <v>39417</v>
      </c>
      <c r="B100" s="35">
        <v>7.7843373859999998</v>
      </c>
      <c r="C100" s="32">
        <v>3.6</v>
      </c>
      <c r="D100" s="32">
        <v>5</v>
      </c>
      <c r="E100" s="25">
        <f t="shared" si="2"/>
        <v>7.3925627629999999</v>
      </c>
      <c r="F100" s="25">
        <f t="shared" si="3"/>
        <v>6.3979663789999996</v>
      </c>
    </row>
    <row r="101" spans="1:6" x14ac:dyDescent="0.2">
      <c r="A101" s="44">
        <v>39448</v>
      </c>
      <c r="B101" s="35">
        <v>7.4200738729999998</v>
      </c>
      <c r="C101" s="32">
        <v>4</v>
      </c>
      <c r="D101" s="32">
        <v>5</v>
      </c>
      <c r="E101" s="25">
        <f t="shared" si="2"/>
        <v>7.7843373859999998</v>
      </c>
      <c r="F101" s="25">
        <f t="shared" si="3"/>
        <v>7.3925627629999999</v>
      </c>
    </row>
    <row r="102" spans="1:6" x14ac:dyDescent="0.2">
      <c r="A102" s="44">
        <v>39479</v>
      </c>
      <c r="B102" s="35">
        <v>8.03343366</v>
      </c>
      <c r="C102" s="32">
        <v>3.7</v>
      </c>
      <c r="D102" s="32">
        <v>5</v>
      </c>
      <c r="E102" s="25">
        <f t="shared" si="2"/>
        <v>7.4200738729999998</v>
      </c>
      <c r="F102" s="25">
        <f t="shared" si="3"/>
        <v>7.7843373859999998</v>
      </c>
    </row>
    <row r="103" spans="1:6" x14ac:dyDescent="0.2">
      <c r="A103" s="44">
        <v>39508</v>
      </c>
      <c r="B103" s="35">
        <v>8.4612113109999996</v>
      </c>
      <c r="C103" s="32">
        <v>4.2</v>
      </c>
      <c r="D103" s="32">
        <v>5</v>
      </c>
      <c r="E103" s="25">
        <f t="shared" si="2"/>
        <v>8.03343366</v>
      </c>
      <c r="F103" s="25">
        <f t="shared" si="3"/>
        <v>7.4200738729999998</v>
      </c>
    </row>
    <row r="104" spans="1:6" x14ac:dyDescent="0.2">
      <c r="A104" s="44">
        <v>39539</v>
      </c>
      <c r="B104" s="35">
        <v>8.2268959259999992</v>
      </c>
      <c r="C104" s="32">
        <v>4</v>
      </c>
      <c r="D104" s="32">
        <v>5.5</v>
      </c>
      <c r="E104" s="25">
        <f t="shared" si="2"/>
        <v>8.4612113109999996</v>
      </c>
      <c r="F104" s="25">
        <f t="shared" si="3"/>
        <v>8.03343366</v>
      </c>
    </row>
    <row r="105" spans="1:6" x14ac:dyDescent="0.2">
      <c r="A105" s="44">
        <v>39569</v>
      </c>
      <c r="B105" s="35">
        <v>8.8009948340000008</v>
      </c>
      <c r="C105" s="32">
        <v>4.0999999999999996</v>
      </c>
      <c r="D105" s="32">
        <v>5.5</v>
      </c>
      <c r="E105" s="25">
        <f t="shared" si="2"/>
        <v>8.2268959259999992</v>
      </c>
      <c r="F105" s="25">
        <f t="shared" si="3"/>
        <v>8.4612113109999996</v>
      </c>
    </row>
    <row r="106" spans="1:6" x14ac:dyDescent="0.2">
      <c r="A106" s="44">
        <v>39600</v>
      </c>
      <c r="B106" s="35">
        <v>9.3936388669999999</v>
      </c>
      <c r="C106" s="32">
        <v>4.5</v>
      </c>
      <c r="D106" s="32">
        <v>6</v>
      </c>
      <c r="E106" s="25">
        <f t="shared" si="2"/>
        <v>8.8009948340000008</v>
      </c>
      <c r="F106" s="25">
        <f t="shared" si="3"/>
        <v>8.2268959259999992</v>
      </c>
    </row>
    <row r="107" spans="1:6" x14ac:dyDescent="0.2">
      <c r="A107" s="44">
        <v>39630</v>
      </c>
      <c r="B107" s="35">
        <v>9.4053779889999998</v>
      </c>
      <c r="C107" s="32">
        <v>5.5</v>
      </c>
      <c r="D107" s="32">
        <v>8</v>
      </c>
      <c r="E107" s="25">
        <f t="shared" si="2"/>
        <v>9.3936388669999999</v>
      </c>
      <c r="F107" s="25">
        <f t="shared" si="3"/>
        <v>8.8009948340000008</v>
      </c>
    </row>
    <row r="108" spans="1:6" x14ac:dyDescent="0.2">
      <c r="A108" s="44">
        <v>39661</v>
      </c>
      <c r="B108" s="35">
        <v>9.2590827079999993</v>
      </c>
      <c r="C108" s="32">
        <v>5.5</v>
      </c>
      <c r="D108" s="32">
        <v>8</v>
      </c>
      <c r="E108" s="25">
        <f t="shared" si="2"/>
        <v>9.4053779889999998</v>
      </c>
      <c r="F108" s="25">
        <f t="shared" si="3"/>
        <v>9.3936388669999999</v>
      </c>
    </row>
    <row r="109" spans="1:6" x14ac:dyDescent="0.2">
      <c r="A109" s="44">
        <v>39692</v>
      </c>
      <c r="B109" s="35">
        <v>9.1967281619999994</v>
      </c>
      <c r="C109" s="32">
        <v>6</v>
      </c>
      <c r="D109" s="32">
        <v>8</v>
      </c>
      <c r="E109" s="25">
        <f t="shared" si="2"/>
        <v>9.2590827079999993</v>
      </c>
      <c r="F109" s="25">
        <f t="shared" si="3"/>
        <v>9.4053779889999998</v>
      </c>
    </row>
    <row r="110" spans="1:6" x14ac:dyDescent="0.2">
      <c r="A110" s="44">
        <v>39722</v>
      </c>
      <c r="B110" s="35">
        <v>9.8281145530000007</v>
      </c>
      <c r="C110" s="32">
        <v>5.3</v>
      </c>
      <c r="D110" s="32">
        <v>8</v>
      </c>
      <c r="E110" s="25">
        <f t="shared" si="2"/>
        <v>9.1967281619999994</v>
      </c>
      <c r="F110" s="25">
        <f t="shared" si="3"/>
        <v>9.2590827079999993</v>
      </c>
    </row>
    <row r="111" spans="1:6" x14ac:dyDescent="0.2">
      <c r="A111" s="44">
        <v>39753</v>
      </c>
      <c r="B111" s="35">
        <v>8.8670501179999999</v>
      </c>
      <c r="C111" s="32">
        <v>4.5999999999999996</v>
      </c>
      <c r="D111" s="32">
        <v>7.45</v>
      </c>
      <c r="E111" s="25">
        <f t="shared" si="2"/>
        <v>9.8281145530000007</v>
      </c>
      <c r="F111" s="25">
        <f t="shared" si="3"/>
        <v>9.1967281619999994</v>
      </c>
    </row>
    <row r="112" spans="1:6" x14ac:dyDescent="0.2">
      <c r="A112" s="44">
        <v>39783</v>
      </c>
      <c r="B112" s="35">
        <v>7.0916860970000002</v>
      </c>
      <c r="C112" s="32">
        <v>3.6</v>
      </c>
      <c r="D112" s="32">
        <v>6</v>
      </c>
      <c r="E112" s="25">
        <f t="shared" si="2"/>
        <v>8.8670501179999999</v>
      </c>
      <c r="F112" s="25">
        <f t="shared" si="3"/>
        <v>9.8281145530000007</v>
      </c>
    </row>
    <row r="113" spans="1:6" x14ac:dyDescent="0.2">
      <c r="A113" s="44">
        <v>39814</v>
      </c>
      <c r="B113" s="35">
        <v>6.3061582280000001</v>
      </c>
      <c r="C113" s="32">
        <v>3.5</v>
      </c>
      <c r="D113" s="32">
        <v>4.5</v>
      </c>
      <c r="E113" s="25">
        <f t="shared" si="2"/>
        <v>7.0916860970000002</v>
      </c>
      <c r="F113" s="25">
        <f t="shared" si="3"/>
        <v>8.8670501179999999</v>
      </c>
    </row>
    <row r="114" spans="1:6" x14ac:dyDescent="0.2">
      <c r="A114" s="44">
        <v>39845</v>
      </c>
      <c r="B114" s="35">
        <v>4.5138215119999998</v>
      </c>
      <c r="C114" s="32">
        <v>3</v>
      </c>
      <c r="D114" s="32">
        <v>4</v>
      </c>
      <c r="E114" s="25">
        <f t="shared" si="2"/>
        <v>6.3061582280000001</v>
      </c>
      <c r="F114" s="25">
        <f t="shared" si="3"/>
        <v>7.0916860970000002</v>
      </c>
    </row>
    <row r="115" spans="1:6" x14ac:dyDescent="0.2">
      <c r="A115" s="44">
        <v>39873</v>
      </c>
      <c r="B115" s="35">
        <v>3.6988424229999999</v>
      </c>
      <c r="C115" s="32">
        <v>2.9</v>
      </c>
      <c r="D115" s="32">
        <v>3</v>
      </c>
      <c r="E115" s="25">
        <f t="shared" si="2"/>
        <v>4.5138215119999998</v>
      </c>
      <c r="F115" s="25">
        <f t="shared" si="3"/>
        <v>6.3061582280000001</v>
      </c>
    </row>
    <row r="116" spans="1:6" x14ac:dyDescent="0.2">
      <c r="A116" s="44">
        <v>39904</v>
      </c>
      <c r="B116" s="35">
        <v>3.1681581699999999</v>
      </c>
      <c r="C116" s="32">
        <v>2.5</v>
      </c>
      <c r="D116" s="32">
        <v>3.2</v>
      </c>
      <c r="E116" s="25">
        <f t="shared" si="2"/>
        <v>3.6988424229999999</v>
      </c>
      <c r="F116" s="25">
        <f t="shared" si="3"/>
        <v>4.5138215119999998</v>
      </c>
    </row>
    <row r="117" spans="1:6" x14ac:dyDescent="0.2">
      <c r="A117" s="44">
        <v>39934</v>
      </c>
      <c r="B117" s="35">
        <v>1.771404867</v>
      </c>
      <c r="C117" s="32">
        <v>2.5</v>
      </c>
      <c r="D117" s="32">
        <v>3</v>
      </c>
      <c r="E117" s="25">
        <f t="shared" si="2"/>
        <v>3.1681581699999999</v>
      </c>
      <c r="F117" s="25">
        <f t="shared" si="3"/>
        <v>3.6988424229999999</v>
      </c>
    </row>
    <row r="118" spans="1:6" x14ac:dyDescent="0.2">
      <c r="A118" s="44">
        <v>39965</v>
      </c>
      <c r="B118" s="35">
        <v>0.61782345000000005</v>
      </c>
      <c r="C118" s="32">
        <v>2.2000000000000002</v>
      </c>
      <c r="D118" s="32">
        <v>2.5</v>
      </c>
      <c r="E118" s="25">
        <f t="shared" si="2"/>
        <v>1.771404867</v>
      </c>
      <c r="F118" s="25">
        <f t="shared" si="3"/>
        <v>3.1681581699999999</v>
      </c>
    </row>
    <row r="119" spans="1:6" x14ac:dyDescent="0.2">
      <c r="A119" s="44">
        <v>39995</v>
      </c>
      <c r="B119" s="35">
        <v>-0.93582844600000004</v>
      </c>
      <c r="C119" s="32">
        <v>2.1</v>
      </c>
      <c r="D119" s="32">
        <v>2.2000000000000002</v>
      </c>
      <c r="E119" s="25">
        <f t="shared" si="2"/>
        <v>0.61782345000000005</v>
      </c>
      <c r="F119" s="25">
        <f t="shared" si="3"/>
        <v>1.771404867</v>
      </c>
    </row>
    <row r="120" spans="1:6" x14ac:dyDescent="0.2">
      <c r="A120" s="44">
        <v>40026</v>
      </c>
      <c r="B120" s="35">
        <v>-2.3027698120000002</v>
      </c>
      <c r="C120" s="32">
        <v>2</v>
      </c>
      <c r="D120" s="32">
        <v>2</v>
      </c>
      <c r="E120" s="25">
        <f t="shared" si="2"/>
        <v>-0.93582844600000004</v>
      </c>
      <c r="F120" s="25">
        <f t="shared" si="3"/>
        <v>0.61782345000000005</v>
      </c>
    </row>
    <row r="121" spans="1:6" x14ac:dyDescent="0.2">
      <c r="A121" s="44">
        <v>40057</v>
      </c>
      <c r="B121" s="35">
        <v>-2.230925048</v>
      </c>
      <c r="C121" s="32">
        <v>2.1</v>
      </c>
      <c r="D121" s="32">
        <v>2</v>
      </c>
      <c r="E121" s="25">
        <f t="shared" si="2"/>
        <v>-2.3027698120000002</v>
      </c>
      <c r="F121" s="25">
        <f t="shared" si="3"/>
        <v>-0.93582844600000004</v>
      </c>
    </row>
    <row r="122" spans="1:6" x14ac:dyDescent="0.2">
      <c r="A122" s="44">
        <v>40087</v>
      </c>
      <c r="B122" s="35">
        <v>-3.094779135</v>
      </c>
      <c r="C122" s="32">
        <v>2.2999999999999998</v>
      </c>
      <c r="D122" s="32">
        <v>2.5</v>
      </c>
      <c r="E122" s="25">
        <f t="shared" si="2"/>
        <v>-2.230925048</v>
      </c>
      <c r="F122" s="25">
        <f t="shared" si="3"/>
        <v>-2.3027698120000002</v>
      </c>
    </row>
    <row r="123" spans="1:6" x14ac:dyDescent="0.2">
      <c r="A123" s="44">
        <v>40118</v>
      </c>
      <c r="B123" s="35">
        <v>-3.359957536</v>
      </c>
      <c r="C123" s="32">
        <v>2.2999999999999998</v>
      </c>
      <c r="D123" s="32">
        <v>2.5</v>
      </c>
      <c r="E123" s="25">
        <f t="shared" si="2"/>
        <v>-3.094779135</v>
      </c>
      <c r="F123" s="25">
        <f t="shared" si="3"/>
        <v>-2.230925048</v>
      </c>
    </row>
    <row r="124" spans="1:6" x14ac:dyDescent="0.2">
      <c r="A124" s="44">
        <v>40148</v>
      </c>
      <c r="B124" s="35">
        <v>-2.5780536430000001</v>
      </c>
      <c r="C124" s="32">
        <v>2.2999999999999998</v>
      </c>
      <c r="D124" s="32">
        <v>2.5</v>
      </c>
      <c r="E124" s="25">
        <f t="shared" si="2"/>
        <v>-3.359957536</v>
      </c>
      <c r="F124" s="25">
        <f t="shared" si="3"/>
        <v>-3.094779135</v>
      </c>
    </row>
    <row r="125" spans="1:6" x14ac:dyDescent="0.2">
      <c r="A125" s="44">
        <v>40179</v>
      </c>
      <c r="B125" s="35">
        <v>-1.3205882280000001</v>
      </c>
      <c r="C125" s="32">
        <v>2.5</v>
      </c>
      <c r="D125" s="32">
        <v>2.5</v>
      </c>
      <c r="E125" s="25">
        <f t="shared" si="2"/>
        <v>-2.5780536430000001</v>
      </c>
      <c r="F125" s="25">
        <f t="shared" si="3"/>
        <v>-3.359957536</v>
      </c>
    </row>
    <row r="126" spans="1:6" x14ac:dyDescent="0.2">
      <c r="A126" s="44">
        <v>40210</v>
      </c>
      <c r="B126" s="35">
        <v>0.25867081800000002</v>
      </c>
      <c r="C126" s="32">
        <v>2.6</v>
      </c>
      <c r="D126" s="32">
        <v>2.8</v>
      </c>
      <c r="E126" s="25">
        <f t="shared" si="2"/>
        <v>-1.3205882280000001</v>
      </c>
      <c r="F126" s="25">
        <f t="shared" si="3"/>
        <v>-2.5780536430000001</v>
      </c>
    </row>
    <row r="127" spans="1:6" x14ac:dyDescent="0.2">
      <c r="A127" s="44">
        <v>40238</v>
      </c>
      <c r="B127" s="35">
        <v>0.30346839199999998</v>
      </c>
      <c r="C127" s="32">
        <v>3.2</v>
      </c>
      <c r="D127" s="32">
        <v>3.5</v>
      </c>
      <c r="E127" s="25">
        <f t="shared" si="2"/>
        <v>0.25867081800000002</v>
      </c>
      <c r="F127" s="25">
        <f t="shared" si="3"/>
        <v>-1.3205882280000001</v>
      </c>
    </row>
    <row r="128" spans="1:6" x14ac:dyDescent="0.2">
      <c r="A128" s="44">
        <v>40269</v>
      </c>
      <c r="B128" s="35">
        <v>0.92254294199999998</v>
      </c>
      <c r="C128" s="32">
        <v>3.4</v>
      </c>
      <c r="D128" s="32">
        <v>3.5</v>
      </c>
      <c r="E128" s="25">
        <f t="shared" si="2"/>
        <v>0.30346839199999998</v>
      </c>
      <c r="F128" s="25">
        <f t="shared" si="3"/>
        <v>0.25867081800000002</v>
      </c>
    </row>
    <row r="129" spans="1:6" x14ac:dyDescent="0.2">
      <c r="A129" s="44">
        <v>40299</v>
      </c>
      <c r="B129" s="35">
        <v>1.5030383329999999</v>
      </c>
      <c r="C129" s="32">
        <v>3.2</v>
      </c>
      <c r="D129" s="32">
        <v>3.5</v>
      </c>
      <c r="E129" s="25">
        <f t="shared" si="2"/>
        <v>0.92254294199999998</v>
      </c>
      <c r="F129" s="25">
        <f t="shared" si="3"/>
        <v>0.30346839199999998</v>
      </c>
    </row>
    <row r="130" spans="1:6" x14ac:dyDescent="0.2">
      <c r="A130" s="44">
        <v>40330</v>
      </c>
      <c r="B130" s="35">
        <v>1.163940432</v>
      </c>
      <c r="C130" s="32">
        <v>3.4</v>
      </c>
      <c r="D130" s="32">
        <v>3.5</v>
      </c>
      <c r="E130" s="25">
        <f t="shared" si="2"/>
        <v>1.5030383329999999</v>
      </c>
      <c r="F130" s="25">
        <f t="shared" si="3"/>
        <v>0.92254294199999998</v>
      </c>
    </row>
    <row r="131" spans="1:6" x14ac:dyDescent="0.2">
      <c r="A131" s="44">
        <v>40360</v>
      </c>
      <c r="B131" s="35">
        <v>2.2522962579999999</v>
      </c>
      <c r="C131" s="32">
        <v>3.25</v>
      </c>
      <c r="D131" s="32">
        <v>3.5</v>
      </c>
      <c r="E131" s="25">
        <f t="shared" si="2"/>
        <v>1.163940432</v>
      </c>
      <c r="F131" s="25">
        <f t="shared" si="3"/>
        <v>1.5030383329999999</v>
      </c>
    </row>
    <row r="132" spans="1:6" x14ac:dyDescent="0.2">
      <c r="A132" s="44">
        <v>40391</v>
      </c>
      <c r="B132" s="35">
        <v>2.6242533909999999</v>
      </c>
      <c r="C132" s="32">
        <v>3.45</v>
      </c>
      <c r="D132" s="32">
        <v>3.5</v>
      </c>
      <c r="E132" s="25">
        <f t="shared" si="2"/>
        <v>2.2522962579999999</v>
      </c>
      <c r="F132" s="25">
        <f t="shared" si="3"/>
        <v>1.163940432</v>
      </c>
    </row>
    <row r="133" spans="1:6" x14ac:dyDescent="0.2">
      <c r="A133" s="44">
        <v>40422</v>
      </c>
      <c r="B133" s="35">
        <v>1.876405257</v>
      </c>
      <c r="C133" s="32">
        <v>3.3</v>
      </c>
      <c r="D133" s="32">
        <v>3.5</v>
      </c>
      <c r="E133" s="25">
        <f t="shared" ref="E133:E196" si="4">B132</f>
        <v>2.6242533909999999</v>
      </c>
      <c r="F133" s="25">
        <f t="shared" si="3"/>
        <v>2.2522962579999999</v>
      </c>
    </row>
    <row r="134" spans="1:6" x14ac:dyDescent="0.2">
      <c r="A134" s="44">
        <v>40452</v>
      </c>
      <c r="B134" s="35">
        <v>1.9839690329999999</v>
      </c>
      <c r="C134" s="32">
        <v>3.1</v>
      </c>
      <c r="D134" s="32">
        <v>3.5</v>
      </c>
      <c r="E134" s="25">
        <f t="shared" si="4"/>
        <v>1.876405257</v>
      </c>
      <c r="F134" s="25">
        <f t="shared" ref="F134:F197" si="5">B132</f>
        <v>2.6242533909999999</v>
      </c>
    </row>
    <row r="135" spans="1:6" x14ac:dyDescent="0.2">
      <c r="A135" s="44">
        <v>40483</v>
      </c>
      <c r="B135" s="35">
        <v>2.4613393860000001</v>
      </c>
      <c r="C135" s="32">
        <v>3.1</v>
      </c>
      <c r="D135" s="32">
        <v>3.3</v>
      </c>
      <c r="E135" s="25">
        <f t="shared" si="4"/>
        <v>1.9839690329999999</v>
      </c>
      <c r="F135" s="25">
        <f t="shared" si="5"/>
        <v>1.876405257</v>
      </c>
    </row>
    <row r="136" spans="1:6" x14ac:dyDescent="0.2">
      <c r="A136" s="44">
        <v>40513</v>
      </c>
      <c r="B136" s="35">
        <v>2.9728681109999999</v>
      </c>
      <c r="C136" s="32">
        <v>3.2</v>
      </c>
      <c r="D136" s="32">
        <v>3.2</v>
      </c>
      <c r="E136" s="25">
        <f t="shared" si="4"/>
        <v>2.4613393860000001</v>
      </c>
      <c r="F136" s="25">
        <f t="shared" si="5"/>
        <v>1.9839690329999999</v>
      </c>
    </row>
    <row r="137" spans="1:6" x14ac:dyDescent="0.2">
      <c r="A137" s="44">
        <v>40544</v>
      </c>
      <c r="B137" s="35">
        <v>2.7192676100000002</v>
      </c>
      <c r="C137" s="32">
        <v>3.55</v>
      </c>
      <c r="D137" s="32">
        <v>3.5</v>
      </c>
      <c r="E137" s="25">
        <f t="shared" si="4"/>
        <v>2.9728681109999999</v>
      </c>
      <c r="F137" s="25">
        <f t="shared" si="5"/>
        <v>2.4613393860000001</v>
      </c>
    </row>
    <row r="138" spans="1:6" x14ac:dyDescent="0.2">
      <c r="A138" s="44">
        <v>40575</v>
      </c>
      <c r="B138" s="35">
        <v>2.667120057</v>
      </c>
      <c r="C138" s="32">
        <v>3.8</v>
      </c>
      <c r="D138" s="32">
        <v>3.7</v>
      </c>
      <c r="E138" s="25">
        <f t="shared" si="4"/>
        <v>2.7192676100000002</v>
      </c>
      <c r="F138" s="25">
        <f t="shared" si="5"/>
        <v>2.9728681109999999</v>
      </c>
    </row>
    <row r="139" spans="1:6" x14ac:dyDescent="0.2">
      <c r="A139" s="44">
        <v>40603</v>
      </c>
      <c r="B139" s="35">
        <v>3.3652925260000002</v>
      </c>
      <c r="C139" s="32">
        <v>4.0449999999999999</v>
      </c>
      <c r="D139" s="32">
        <v>4.05</v>
      </c>
      <c r="E139" s="25">
        <f t="shared" si="4"/>
        <v>2.667120057</v>
      </c>
      <c r="F139" s="25">
        <f t="shared" si="5"/>
        <v>2.7192676100000002</v>
      </c>
    </row>
    <row r="140" spans="1:6" x14ac:dyDescent="0.2">
      <c r="A140" s="44">
        <v>40634</v>
      </c>
      <c r="B140" s="35">
        <v>3.217910593</v>
      </c>
      <c r="C140" s="32">
        <v>4</v>
      </c>
      <c r="D140" s="32">
        <v>4</v>
      </c>
      <c r="E140" s="25">
        <f t="shared" si="4"/>
        <v>3.3652925260000002</v>
      </c>
      <c r="F140" s="25">
        <f t="shared" si="5"/>
        <v>2.667120057</v>
      </c>
    </row>
    <row r="141" spans="1:6" x14ac:dyDescent="0.2">
      <c r="A141" s="44">
        <v>40664</v>
      </c>
      <c r="B141" s="35">
        <v>3.2590621999999998</v>
      </c>
      <c r="C141" s="32">
        <v>4</v>
      </c>
      <c r="D141" s="32">
        <v>4</v>
      </c>
      <c r="E141" s="25">
        <f t="shared" si="4"/>
        <v>3.217910593</v>
      </c>
      <c r="F141" s="25">
        <f t="shared" si="5"/>
        <v>3.3652925260000002</v>
      </c>
    </row>
    <row r="142" spans="1:6" x14ac:dyDescent="0.2">
      <c r="A142" s="44">
        <v>40695</v>
      </c>
      <c r="B142" s="35">
        <v>3.4339216459999999</v>
      </c>
      <c r="C142" s="32">
        <v>3.7</v>
      </c>
      <c r="D142" s="32">
        <v>4</v>
      </c>
      <c r="E142" s="25">
        <f t="shared" si="4"/>
        <v>3.2590621999999998</v>
      </c>
      <c r="F142" s="25">
        <f t="shared" si="5"/>
        <v>3.217910593</v>
      </c>
    </row>
    <row r="143" spans="1:6" x14ac:dyDescent="0.2">
      <c r="A143" s="44">
        <v>40725</v>
      </c>
      <c r="B143" s="35">
        <v>2.9041992429999999</v>
      </c>
      <c r="C143" s="32">
        <v>3.5</v>
      </c>
      <c r="D143" s="32">
        <v>4</v>
      </c>
      <c r="E143" s="25">
        <f t="shared" si="4"/>
        <v>3.4339216459999999</v>
      </c>
      <c r="F143" s="25">
        <f t="shared" si="5"/>
        <v>3.2590621999999998</v>
      </c>
    </row>
    <row r="144" spans="1:6" x14ac:dyDescent="0.2">
      <c r="A144" s="44">
        <v>40756</v>
      </c>
      <c r="B144" s="35">
        <v>3.1724843069999999</v>
      </c>
      <c r="C144" s="32">
        <v>3.2</v>
      </c>
      <c r="D144" s="32">
        <v>4</v>
      </c>
      <c r="E144" s="25">
        <f t="shared" si="4"/>
        <v>2.9041992429999999</v>
      </c>
      <c r="F144" s="25">
        <f t="shared" si="5"/>
        <v>3.4339216459999999</v>
      </c>
    </row>
    <row r="145" spans="1:14" x14ac:dyDescent="0.2">
      <c r="A145" s="44">
        <v>40787</v>
      </c>
      <c r="B145" s="35">
        <v>3.272251786</v>
      </c>
      <c r="C145" s="32">
        <v>3</v>
      </c>
      <c r="D145" s="32">
        <v>3.5</v>
      </c>
      <c r="E145" s="25">
        <f t="shared" si="4"/>
        <v>3.1724843069999999</v>
      </c>
      <c r="F145" s="25">
        <f t="shared" si="5"/>
        <v>2.9041992429999999</v>
      </c>
    </row>
    <row r="146" spans="1:14" x14ac:dyDescent="0.2">
      <c r="A146" s="44">
        <v>40817</v>
      </c>
      <c r="B146" s="35">
        <v>3.6719000409999998</v>
      </c>
      <c r="C146" s="32">
        <v>3</v>
      </c>
      <c r="D146" s="32">
        <v>3.5</v>
      </c>
      <c r="E146" s="25">
        <f t="shared" si="4"/>
        <v>3.272251786</v>
      </c>
      <c r="F146" s="25">
        <f t="shared" si="5"/>
        <v>3.1724843069999999</v>
      </c>
    </row>
    <row r="147" spans="1:14" x14ac:dyDescent="0.2">
      <c r="A147" s="44">
        <v>40848</v>
      </c>
      <c r="B147" s="35">
        <v>3.9277117050000001</v>
      </c>
      <c r="C147" s="32">
        <v>3</v>
      </c>
      <c r="D147" s="32">
        <v>3.5</v>
      </c>
      <c r="E147" s="25">
        <f t="shared" si="4"/>
        <v>3.6719000409999998</v>
      </c>
      <c r="F147" s="25">
        <f t="shared" si="5"/>
        <v>3.272251786</v>
      </c>
    </row>
    <row r="148" spans="1:14" x14ac:dyDescent="0.2">
      <c r="A148" s="33">
        <v>40878</v>
      </c>
      <c r="B148" s="36">
        <v>4.4377327979999999</v>
      </c>
      <c r="C148" s="32">
        <v>2.9</v>
      </c>
      <c r="D148" s="32">
        <v>3.6709876543209901</v>
      </c>
      <c r="E148" s="25">
        <f t="shared" si="4"/>
        <v>3.9277117050000001</v>
      </c>
      <c r="F148" s="25">
        <f t="shared" si="5"/>
        <v>3.6719000409999998</v>
      </c>
      <c r="G148" s="26">
        <f>J148+(I148*E148)+(H148*F148)</f>
        <v>4.0334476490761322</v>
      </c>
      <c r="H148" s="24" cm="1">
        <f t="array" ref="H148:J148">LINEST(B98:B147,E98:F147)</f>
        <v>-0.54908158110606387</v>
      </c>
      <c r="I148" s="24">
        <v>1.5118058796253351</v>
      </c>
      <c r="J148" s="24">
        <v>0.11168268015958294</v>
      </c>
      <c r="K148" s="25">
        <f>B148-G148</f>
        <v>0.40428514892386769</v>
      </c>
      <c r="L148" s="25">
        <f>K148^2</f>
        <v>0.16344648164039388</v>
      </c>
      <c r="M148" s="7"/>
      <c r="N148" s="7"/>
    </row>
    <row r="149" spans="1:14" x14ac:dyDescent="0.2">
      <c r="A149" s="44">
        <v>40909</v>
      </c>
      <c r="B149" s="23">
        <v>4.2474617290000003</v>
      </c>
      <c r="C149" s="1">
        <v>3</v>
      </c>
      <c r="D149" s="1">
        <v>3.8027210884353799</v>
      </c>
      <c r="E149" s="25">
        <f t="shared" si="4"/>
        <v>4.4377327979999999</v>
      </c>
      <c r="F149" s="25">
        <f t="shared" si="5"/>
        <v>3.9277117050000001</v>
      </c>
      <c r="G149" s="26">
        <f t="shared" ref="G149:G212" si="6">J149+(I149*E149)+(H149*F149)</f>
        <v>4.6712154725302177</v>
      </c>
      <c r="H149" s="24" cm="1">
        <f t="array" ref="H149:J149">LINEST(B99:B148,E99:F148)</f>
        <v>-0.55021099055742007</v>
      </c>
      <c r="I149" s="24">
        <v>1.5128369138339348</v>
      </c>
      <c r="J149" s="24">
        <v>0.11871962981628847</v>
      </c>
      <c r="K149" s="25">
        <f t="shared" ref="K149:K212" si="7">B149-G149</f>
        <v>-0.42375374353021744</v>
      </c>
      <c r="L149" s="25">
        <f t="shared" ref="L149:L212" si="8">K149^2</f>
        <v>0.17956723515587331</v>
      </c>
      <c r="M149" s="7"/>
      <c r="N149" s="7"/>
    </row>
    <row r="150" spans="1:14" x14ac:dyDescent="0.2">
      <c r="A150" s="44">
        <v>40940</v>
      </c>
      <c r="B150" s="23">
        <v>4.4121148809999999</v>
      </c>
      <c r="C150" s="1">
        <v>3</v>
      </c>
      <c r="D150" s="1">
        <v>3.7865497076023402</v>
      </c>
      <c r="E150" s="25">
        <f t="shared" si="4"/>
        <v>4.2474617290000003</v>
      </c>
      <c r="F150" s="25">
        <f t="shared" si="5"/>
        <v>4.4377327979999999</v>
      </c>
      <c r="G150" s="26">
        <f t="shared" si="6"/>
        <v>4.0800858395745188</v>
      </c>
      <c r="H150" s="24" cm="1">
        <f t="array" ref="H150:J150">LINEST(B100:B149,E100:F149)</f>
        <v>-0.5266132234472114</v>
      </c>
      <c r="I150" s="24">
        <v>1.4858763884271053</v>
      </c>
      <c r="J150" s="24">
        <v>0.10585151925784242</v>
      </c>
      <c r="K150" s="25">
        <f t="shared" si="7"/>
        <v>0.33202904142548118</v>
      </c>
      <c r="L150" s="25">
        <f t="shared" si="8"/>
        <v>0.11024328434992389</v>
      </c>
      <c r="M150" s="7"/>
      <c r="N150" s="7"/>
    </row>
    <row r="151" spans="1:14" x14ac:dyDescent="0.2">
      <c r="A151" s="44">
        <v>40969</v>
      </c>
      <c r="B151" s="23">
        <v>3.7888494170000002</v>
      </c>
      <c r="C151" s="1">
        <v>3.2</v>
      </c>
      <c r="D151" s="1">
        <v>3.875</v>
      </c>
      <c r="E151" s="25">
        <f t="shared" si="4"/>
        <v>4.4121148809999999</v>
      </c>
      <c r="F151" s="25">
        <f t="shared" si="5"/>
        <v>4.2474617290000003</v>
      </c>
      <c r="G151" s="26">
        <f t="shared" si="6"/>
        <v>4.4294519695035062</v>
      </c>
      <c r="H151" s="24" cm="1">
        <f t="array" ref="H151:J151">LINEST(B101:B150,E101:F150)</f>
        <v>-0.52276887277295758</v>
      </c>
      <c r="I151" s="24">
        <v>1.4820474808288513</v>
      </c>
      <c r="J151" s="24">
        <v>0.11092900520557669</v>
      </c>
      <c r="K151" s="25">
        <f t="shared" si="7"/>
        <v>-0.64060255250350595</v>
      </c>
      <c r="L151" s="25">
        <f t="shared" si="8"/>
        <v>0.41037163027400708</v>
      </c>
      <c r="M151" s="7"/>
      <c r="N151" s="7"/>
    </row>
    <row r="152" spans="1:14" x14ac:dyDescent="0.2">
      <c r="A152" s="44">
        <v>41000</v>
      </c>
      <c r="B152" s="23">
        <v>3.5113179140000002</v>
      </c>
      <c r="C152" s="1">
        <v>3.3</v>
      </c>
      <c r="D152" s="1">
        <v>3.8891566265060198</v>
      </c>
      <c r="E152" s="25">
        <f t="shared" si="4"/>
        <v>3.7888494170000002</v>
      </c>
      <c r="F152" s="25">
        <f t="shared" si="5"/>
        <v>4.4121148809999999</v>
      </c>
      <c r="G152" s="26">
        <f t="shared" si="6"/>
        <v>3.4143603006698409</v>
      </c>
      <c r="H152" s="24" cm="1">
        <f t="array" ref="H152:J152">LINEST(B102:B151,E102:F151)</f>
        <v>-0.52310799378751549</v>
      </c>
      <c r="I152" s="24">
        <v>1.4839148086025946</v>
      </c>
      <c r="J152" s="24">
        <v>0.10004310697818597</v>
      </c>
      <c r="K152" s="25">
        <f t="shared" si="7"/>
        <v>9.6957613330159287E-2</v>
      </c>
      <c r="L152" s="25">
        <f t="shared" si="8"/>
        <v>9.4007787826806827E-3</v>
      </c>
      <c r="M152" s="7"/>
      <c r="N152" s="7"/>
    </row>
    <row r="153" spans="1:14" x14ac:dyDescent="0.2">
      <c r="A153" s="44">
        <v>41030</v>
      </c>
      <c r="B153" s="23">
        <v>3.1307115250000002</v>
      </c>
      <c r="C153" s="1">
        <v>3.3</v>
      </c>
      <c r="D153" s="1">
        <v>3.7082122905027899</v>
      </c>
      <c r="E153" s="25">
        <f t="shared" si="4"/>
        <v>3.5113179140000002</v>
      </c>
      <c r="F153" s="25">
        <f t="shared" si="5"/>
        <v>3.7888494170000002</v>
      </c>
      <c r="G153" s="26">
        <f t="shared" si="6"/>
        <v>3.308098662347899</v>
      </c>
      <c r="H153" s="24" cm="1">
        <f t="array" ref="H153:J153">LINEST(B103:B152,E103:F152)</f>
        <v>-0.53288122639296409</v>
      </c>
      <c r="I153" s="24">
        <v>1.4872401825130237</v>
      </c>
      <c r="J153" s="24">
        <v>0.10493229101851664</v>
      </c>
      <c r="K153" s="25">
        <f t="shared" si="7"/>
        <v>-0.17738713734789879</v>
      </c>
      <c r="L153" s="25">
        <f t="shared" si="8"/>
        <v>3.1466196496482308E-2</v>
      </c>
      <c r="M153" s="7"/>
      <c r="N153" s="7"/>
    </row>
    <row r="154" spans="1:14" x14ac:dyDescent="0.2">
      <c r="A154" s="44">
        <v>41061</v>
      </c>
      <c r="B154" s="23">
        <v>2.65108839</v>
      </c>
      <c r="C154" s="1">
        <v>3</v>
      </c>
      <c r="D154" s="1">
        <v>3.5587096774193601</v>
      </c>
      <c r="E154" s="25">
        <f t="shared" si="4"/>
        <v>3.1307115250000002</v>
      </c>
      <c r="F154" s="25">
        <f t="shared" si="5"/>
        <v>3.5113179140000002</v>
      </c>
      <c r="G154" s="26">
        <f t="shared" si="6"/>
        <v>2.8819400733745817</v>
      </c>
      <c r="H154" s="24" cm="1">
        <f t="array" ref="H154:J154">LINEST(B104:B153,E104:F153)</f>
        <v>-0.52529882551977047</v>
      </c>
      <c r="I154" s="24">
        <v>1.4768040876123776</v>
      </c>
      <c r="J154" s="24">
        <v>0.10298367237013184</v>
      </c>
      <c r="K154" s="25">
        <f t="shared" si="7"/>
        <v>-0.23085168337458173</v>
      </c>
      <c r="L154" s="25">
        <f t="shared" si="8"/>
        <v>5.3292499716878133E-2</v>
      </c>
      <c r="M154" s="7"/>
      <c r="N154" s="7"/>
    </row>
    <row r="155" spans="1:14" x14ac:dyDescent="0.2">
      <c r="A155" s="44">
        <v>41091</v>
      </c>
      <c r="B155" s="23">
        <v>2.5074451139999998</v>
      </c>
      <c r="C155" s="1">
        <v>2.9</v>
      </c>
      <c r="D155" s="1">
        <v>3.2641509433962299</v>
      </c>
      <c r="E155" s="25">
        <f t="shared" si="4"/>
        <v>2.65108839</v>
      </c>
      <c r="F155" s="25">
        <f t="shared" si="5"/>
        <v>3.1307115250000002</v>
      </c>
      <c r="G155" s="26">
        <f t="shared" si="6"/>
        <v>2.3692256015763311</v>
      </c>
      <c r="H155" s="24" cm="1">
        <f t="array" ref="H155:J155">LINEST(B105:B154,E105:F154)</f>
        <v>-0.5304486277771322</v>
      </c>
      <c r="I155" s="24">
        <v>1.4833785900870784</v>
      </c>
      <c r="J155" s="24">
        <v>9.7339475824211874E-2</v>
      </c>
      <c r="K155" s="25">
        <f t="shared" si="7"/>
        <v>0.1382195124236687</v>
      </c>
      <c r="L155" s="25">
        <f t="shared" si="8"/>
        <v>1.9104633614636705E-2</v>
      </c>
      <c r="M155" s="7"/>
      <c r="N155" s="7"/>
    </row>
    <row r="156" spans="1:14" x14ac:dyDescent="0.2">
      <c r="A156" s="44">
        <v>41122</v>
      </c>
      <c r="B156" s="23">
        <v>2.5678298860000002</v>
      </c>
      <c r="C156" s="1">
        <v>2.9</v>
      </c>
      <c r="D156" s="1">
        <v>3.1270270270270299</v>
      </c>
      <c r="E156" s="25">
        <f t="shared" si="4"/>
        <v>2.5074451139999998</v>
      </c>
      <c r="F156" s="25">
        <f t="shared" si="5"/>
        <v>2.65108839</v>
      </c>
      <c r="G156" s="26">
        <f t="shared" si="6"/>
        <v>2.3992399810173319</v>
      </c>
      <c r="H156" s="24" cm="1">
        <f t="array" ref="H156:J156">LINEST(B106:B155,E106:F155)</f>
        <v>-0.53343445421452462</v>
      </c>
      <c r="I156" s="24">
        <v>1.4770027768140337</v>
      </c>
      <c r="J156" s="24">
        <v>0.10991847332466409</v>
      </c>
      <c r="K156" s="25">
        <f t="shared" si="7"/>
        <v>0.16858990498266824</v>
      </c>
      <c r="L156" s="25">
        <f t="shared" si="8"/>
        <v>2.8422556062065105E-2</v>
      </c>
      <c r="M156" s="7"/>
      <c r="N156" s="7"/>
    </row>
    <row r="157" spans="1:14" x14ac:dyDescent="0.2">
      <c r="A157" s="44">
        <v>41153</v>
      </c>
      <c r="B157" s="23">
        <v>2.8449680590000002</v>
      </c>
      <c r="C157" s="1">
        <v>3</v>
      </c>
      <c r="D157" s="1">
        <v>3.1348993288590599</v>
      </c>
      <c r="E157" s="25">
        <f t="shared" si="4"/>
        <v>2.5678298860000002</v>
      </c>
      <c r="F157" s="25">
        <f t="shared" si="5"/>
        <v>2.5074451139999998</v>
      </c>
      <c r="G157" s="26">
        <f t="shared" si="6"/>
        <v>2.5549973490924471</v>
      </c>
      <c r="H157" s="24" cm="1">
        <f t="array" ref="H157:J157">LINEST(B107:B156,E107:F156)</f>
        <v>-0.51546379316480906</v>
      </c>
      <c r="I157" s="24">
        <v>1.4511742192313737</v>
      </c>
      <c r="J157" s="24">
        <v>0.12112598877241632</v>
      </c>
      <c r="K157" s="25">
        <f t="shared" si="7"/>
        <v>0.28997070990755303</v>
      </c>
      <c r="L157" s="25">
        <f t="shared" si="8"/>
        <v>8.4083012604290269E-2</v>
      </c>
      <c r="M157" s="7"/>
      <c r="N157" s="7"/>
    </row>
    <row r="158" spans="1:14" x14ac:dyDescent="0.2">
      <c r="A158" s="44">
        <v>41183</v>
      </c>
      <c r="B158" s="23">
        <v>2.9199481629999999</v>
      </c>
      <c r="C158" s="1">
        <v>3</v>
      </c>
      <c r="D158" s="1">
        <v>3.2374999999999998</v>
      </c>
      <c r="E158" s="25">
        <f t="shared" si="4"/>
        <v>2.8449680590000002</v>
      </c>
      <c r="F158" s="25">
        <f t="shared" si="5"/>
        <v>2.5678298860000002</v>
      </c>
      <c r="G158" s="26">
        <f t="shared" si="6"/>
        <v>2.9265577705827415</v>
      </c>
      <c r="H158" s="24" cm="1">
        <f t="array" ref="H158:J158">LINEST(B108:B157,E108:F157)</f>
        <v>-0.51170251576764592</v>
      </c>
      <c r="I158" s="24">
        <v>1.4445569884278622</v>
      </c>
      <c r="J158" s="24">
        <v>0.13080429182978826</v>
      </c>
      <c r="K158" s="25">
        <f t="shared" si="7"/>
        <v>-6.609607582741539E-3</v>
      </c>
      <c r="L158" s="25">
        <f t="shared" si="8"/>
        <v>4.3686912397834451E-5</v>
      </c>
      <c r="M158" s="7"/>
      <c r="N158" s="7"/>
    </row>
    <row r="159" spans="1:14" x14ac:dyDescent="0.2">
      <c r="A159" s="44">
        <v>41214</v>
      </c>
      <c r="B159" s="23">
        <v>2.1323437709999999</v>
      </c>
      <c r="C159" s="1">
        <v>3</v>
      </c>
      <c r="D159" s="1">
        <v>3.2327380952381</v>
      </c>
      <c r="E159" s="25">
        <f t="shared" si="4"/>
        <v>2.9199481629999999</v>
      </c>
      <c r="F159" s="25">
        <f t="shared" si="5"/>
        <v>2.8449680590000002</v>
      </c>
      <c r="G159" s="26">
        <f t="shared" si="6"/>
        <v>2.8841725201596216</v>
      </c>
      <c r="H159" s="24" cm="1">
        <f t="array" ref="H159:J159">LINEST(B109:B158,E109:F158)</f>
        <v>-0.50809769749444622</v>
      </c>
      <c r="I159" s="24">
        <v>1.4354490645962696</v>
      </c>
      <c r="J159" s="24">
        <v>0.13825738113481889</v>
      </c>
      <c r="K159" s="25">
        <f t="shared" si="7"/>
        <v>-0.75182874915962161</v>
      </c>
      <c r="L159" s="25">
        <f t="shared" si="8"/>
        <v>0.56524646806292123</v>
      </c>
      <c r="M159" s="7"/>
      <c r="N159" s="7"/>
    </row>
    <row r="160" spans="1:14" x14ac:dyDescent="0.2">
      <c r="A160" s="44">
        <v>41244</v>
      </c>
      <c r="B160" s="23">
        <v>1.486964626</v>
      </c>
      <c r="C160" s="1">
        <v>3</v>
      </c>
      <c r="D160" s="1">
        <v>3.10994152046784</v>
      </c>
      <c r="E160" s="25">
        <f t="shared" si="4"/>
        <v>2.1323437709999999</v>
      </c>
      <c r="F160" s="25">
        <f t="shared" si="5"/>
        <v>2.9199481629999999</v>
      </c>
      <c r="G160" s="26">
        <f t="shared" si="6"/>
        <v>1.6998109750405175</v>
      </c>
      <c r="H160" s="24" cm="1">
        <f t="array" ref="H160:J160">LINEST(B110:B159,E110:F159)</f>
        <v>-0.49986954310196136</v>
      </c>
      <c r="I160" s="24">
        <v>1.416979366867432</v>
      </c>
      <c r="J160" s="24">
        <v>0.13791700258544681</v>
      </c>
      <c r="K160" s="25">
        <f t="shared" si="7"/>
        <v>-0.21284634904051747</v>
      </c>
      <c r="L160" s="25">
        <f t="shared" si="8"/>
        <v>4.5303568299877792E-2</v>
      </c>
      <c r="M160" s="7"/>
      <c r="N160" s="7"/>
    </row>
    <row r="161" spans="1:14" x14ac:dyDescent="0.2">
      <c r="A161" s="44">
        <v>41275</v>
      </c>
      <c r="B161" s="23">
        <v>1.577965321</v>
      </c>
      <c r="C161" s="1">
        <v>3</v>
      </c>
      <c r="D161" s="1">
        <v>3.0530487804878099</v>
      </c>
      <c r="E161" s="25">
        <f t="shared" si="4"/>
        <v>1.486964626</v>
      </c>
      <c r="F161" s="25">
        <f t="shared" si="5"/>
        <v>2.1323437709999999</v>
      </c>
      <c r="G161" s="26">
        <f t="shared" si="6"/>
        <v>1.1769958613208011</v>
      </c>
      <c r="H161" s="24" cm="1">
        <f t="array" ref="H161:J161">LINEST(B111:B160,E111:F160)</f>
        <v>-0.49353714982607977</v>
      </c>
      <c r="I161" s="24">
        <v>1.3852477072307841</v>
      </c>
      <c r="J161" s="24">
        <v>0.16957238960975585</v>
      </c>
      <c r="K161" s="25">
        <f t="shared" si="7"/>
        <v>0.40096945967919884</v>
      </c>
      <c r="L161" s="25">
        <f t="shared" si="8"/>
        <v>0.16077650759542866</v>
      </c>
      <c r="M161" s="7"/>
      <c r="N161" s="7"/>
    </row>
    <row r="162" spans="1:14" x14ac:dyDescent="0.2">
      <c r="A162" s="44">
        <v>41306</v>
      </c>
      <c r="B162" s="23">
        <v>1.3049116350000001</v>
      </c>
      <c r="C162" s="1">
        <v>3</v>
      </c>
      <c r="D162" s="1">
        <v>2.94965986394558</v>
      </c>
      <c r="E162" s="25">
        <f t="shared" si="4"/>
        <v>1.577965321</v>
      </c>
      <c r="F162" s="25">
        <f t="shared" si="5"/>
        <v>1.486964626</v>
      </c>
      <c r="G162" s="26">
        <f t="shared" si="6"/>
        <v>1.632756068988511</v>
      </c>
      <c r="H162" s="24" cm="1">
        <f t="array" ref="H162:J162">LINEST(B112:B161,E112:F161)</f>
        <v>-0.50221796741080471</v>
      </c>
      <c r="I162" s="24">
        <v>1.4031712264759015</v>
      </c>
      <c r="J162" s="24">
        <v>0.16538088626598824</v>
      </c>
      <c r="K162" s="25">
        <f t="shared" si="7"/>
        <v>-0.32784443398851093</v>
      </c>
      <c r="L162" s="25">
        <f t="shared" si="8"/>
        <v>0.10748197289724711</v>
      </c>
      <c r="M162" s="7"/>
      <c r="N162" s="7"/>
    </row>
    <row r="163" spans="1:14" x14ac:dyDescent="0.2">
      <c r="A163" s="44">
        <v>41334</v>
      </c>
      <c r="B163" s="23">
        <v>1.7035028329999999</v>
      </c>
      <c r="C163" s="1">
        <v>3</v>
      </c>
      <c r="D163" s="1">
        <v>3.04388489208633</v>
      </c>
      <c r="E163" s="25">
        <f t="shared" si="4"/>
        <v>1.3049116350000001</v>
      </c>
      <c r="F163" s="25">
        <f t="shared" si="5"/>
        <v>1.577965321</v>
      </c>
      <c r="G163" s="26">
        <f t="shared" si="6"/>
        <v>1.1971250093002921</v>
      </c>
      <c r="H163" s="24" cm="1">
        <f t="array" ref="H163:J163">LINEST(B113:B162,E113:F162)</f>
        <v>-0.48680160313226517</v>
      </c>
      <c r="I163" s="24">
        <v>1.4040738376949953</v>
      </c>
      <c r="J163" s="24">
        <v>0.13308877004291042</v>
      </c>
      <c r="K163" s="25">
        <f t="shared" si="7"/>
        <v>0.50637782369970785</v>
      </c>
      <c r="L163" s="25">
        <f t="shared" si="8"/>
        <v>0.25641850033485242</v>
      </c>
      <c r="M163" s="7"/>
      <c r="N163" s="7"/>
    </row>
    <row r="164" spans="1:14" x14ac:dyDescent="0.2">
      <c r="A164" s="44">
        <v>41365</v>
      </c>
      <c r="B164" s="23">
        <v>1.4727458950000001</v>
      </c>
      <c r="C164" s="1">
        <v>3</v>
      </c>
      <c r="D164" s="1">
        <v>3.0333333333333301</v>
      </c>
      <c r="E164" s="25">
        <f t="shared" si="4"/>
        <v>1.7035028329999999</v>
      </c>
      <c r="F164" s="25">
        <f t="shared" si="5"/>
        <v>1.3049116350000001</v>
      </c>
      <c r="G164" s="26">
        <f t="shared" si="6"/>
        <v>1.9109976686434256</v>
      </c>
      <c r="H164" s="24" cm="1">
        <f t="array" ref="H164:J164">LINEST(B114:B163,E114:F163)</f>
        <v>-0.52019887904222484</v>
      </c>
      <c r="I164" s="24">
        <v>1.4234397912793546</v>
      </c>
      <c r="J164" s="24">
        <v>0.16497752137027311</v>
      </c>
      <c r="K164" s="25">
        <f t="shared" si="7"/>
        <v>-0.43825177364342549</v>
      </c>
      <c r="L164" s="25">
        <f t="shared" si="8"/>
        <v>0.19206461710160824</v>
      </c>
      <c r="M164" s="7"/>
      <c r="N164" s="7"/>
    </row>
    <row r="165" spans="1:14" x14ac:dyDescent="0.2">
      <c r="A165" s="44">
        <v>41395</v>
      </c>
      <c r="B165" s="23">
        <v>1.3881828919999999</v>
      </c>
      <c r="C165" s="1">
        <v>2.9</v>
      </c>
      <c r="D165" s="1">
        <v>2.9323529411764699</v>
      </c>
      <c r="E165" s="25">
        <f t="shared" si="4"/>
        <v>1.4727458950000001</v>
      </c>
      <c r="F165" s="25">
        <f t="shared" si="5"/>
        <v>1.7035028329999999</v>
      </c>
      <c r="G165" s="26">
        <f t="shared" si="6"/>
        <v>1.3804301811491948</v>
      </c>
      <c r="H165" s="24" cm="1">
        <f t="array" ref="H165:J165">LINEST(B115:B164,E115:F164)</f>
        <v>-0.48141068986139018</v>
      </c>
      <c r="I165" s="24">
        <v>1.4062489459853087</v>
      </c>
      <c r="J165" s="24">
        <v>0.12946729261661738</v>
      </c>
      <c r="K165" s="25">
        <f t="shared" si="7"/>
        <v>7.752710850805089E-3</v>
      </c>
      <c r="L165" s="25">
        <f t="shared" si="8"/>
        <v>6.0104525536190967E-5</v>
      </c>
      <c r="M165" s="7"/>
      <c r="N165" s="7"/>
    </row>
    <row r="166" spans="1:14" x14ac:dyDescent="0.2">
      <c r="A166" s="44">
        <v>41426</v>
      </c>
      <c r="B166" s="23">
        <v>2.1557052419999998</v>
      </c>
      <c r="C166" s="1">
        <v>2.8</v>
      </c>
      <c r="D166" s="1">
        <v>2.79181286549708</v>
      </c>
      <c r="E166" s="25">
        <f t="shared" si="4"/>
        <v>1.3881828919999999</v>
      </c>
      <c r="F166" s="25">
        <f t="shared" si="5"/>
        <v>1.4727458950000001</v>
      </c>
      <c r="G166" s="26">
        <f t="shared" si="6"/>
        <v>1.369224263511402</v>
      </c>
      <c r="H166" s="24" cm="1">
        <f t="array" ref="H166:J166">LINEST(B116:B165,E116:F165)</f>
        <v>-0.50424461051108915</v>
      </c>
      <c r="I166" s="24">
        <v>1.4246978810114088</v>
      </c>
      <c r="J166" s="24">
        <v>0.1341072190287933</v>
      </c>
      <c r="K166" s="25">
        <f t="shared" si="7"/>
        <v>0.78648097848859777</v>
      </c>
      <c r="L166" s="25">
        <f t="shared" si="8"/>
        <v>0.61855232952438222</v>
      </c>
      <c r="M166" s="7"/>
      <c r="N166" s="7"/>
    </row>
    <row r="167" spans="1:14" x14ac:dyDescent="0.2">
      <c r="A167" s="44">
        <v>41456</v>
      </c>
      <c r="B167" s="23">
        <v>2.2240832369999999</v>
      </c>
      <c r="C167" s="1">
        <v>2.8</v>
      </c>
      <c r="D167" s="1">
        <v>2.86024096385542</v>
      </c>
      <c r="E167" s="25">
        <f t="shared" si="4"/>
        <v>2.1557052419999998</v>
      </c>
      <c r="F167" s="25">
        <f t="shared" si="5"/>
        <v>1.3881828919999999</v>
      </c>
      <c r="G167" s="26">
        <f t="shared" si="6"/>
        <v>2.5203618179581597</v>
      </c>
      <c r="H167" s="24" cm="1">
        <f t="array" ref="H167:J167">LINEST(B117:B166,E117:F166)</f>
        <v>-0.50525825422684456</v>
      </c>
      <c r="I167" s="24">
        <v>1.4234126842684738</v>
      </c>
      <c r="J167" s="24">
        <v>0.15329449751081248</v>
      </c>
      <c r="K167" s="25">
        <f t="shared" si="7"/>
        <v>-0.29627858095815984</v>
      </c>
      <c r="L167" s="25">
        <f t="shared" si="8"/>
        <v>8.7780997534580879E-2</v>
      </c>
      <c r="M167" s="7"/>
      <c r="N167" s="7"/>
    </row>
    <row r="168" spans="1:14" x14ac:dyDescent="0.2">
      <c r="A168" s="44">
        <v>41487</v>
      </c>
      <c r="B168" s="23">
        <v>2.2886529530000002</v>
      </c>
      <c r="C168" s="1">
        <v>2.8</v>
      </c>
      <c r="D168" s="1">
        <v>3.01837837837838</v>
      </c>
      <c r="E168" s="25">
        <f t="shared" si="4"/>
        <v>2.2240832369999999</v>
      </c>
      <c r="F168" s="25">
        <f t="shared" si="5"/>
        <v>2.1557052419999998</v>
      </c>
      <c r="G168" s="26">
        <f t="shared" si="6"/>
        <v>2.2444579912358367</v>
      </c>
      <c r="H168" s="24" cm="1">
        <f t="array" ref="H168:J168">LINEST(B118:B167,E118:F167)</f>
        <v>-0.46462909130949903</v>
      </c>
      <c r="I168" s="24">
        <v>1.3916710983228646</v>
      </c>
      <c r="J168" s="24">
        <v>0.15086899776015839</v>
      </c>
      <c r="K168" s="25">
        <f t="shared" si="7"/>
        <v>4.4194961764163487E-2</v>
      </c>
      <c r="L168" s="25">
        <f t="shared" si="8"/>
        <v>1.9531946453358725E-3</v>
      </c>
      <c r="M168" s="7"/>
      <c r="N168" s="7"/>
    </row>
    <row r="169" spans="1:14" x14ac:dyDescent="0.2">
      <c r="A169" s="44">
        <v>41518</v>
      </c>
      <c r="B169" s="23">
        <v>2.0040252089999999</v>
      </c>
      <c r="C169" s="1">
        <v>2.9</v>
      </c>
      <c r="D169" s="1">
        <v>3.0132075471698099</v>
      </c>
      <c r="E169" s="25">
        <f t="shared" si="4"/>
        <v>2.2886529530000002</v>
      </c>
      <c r="F169" s="25">
        <f t="shared" si="5"/>
        <v>2.2240832369999999</v>
      </c>
      <c r="G169" s="26">
        <f t="shared" si="6"/>
        <v>2.3126349822503878</v>
      </c>
      <c r="H169" s="24" cm="1">
        <f t="array" ref="H169:J169">LINEST(B119:B168,E119:F168)</f>
        <v>-0.42429016222915211</v>
      </c>
      <c r="I169" s="24">
        <v>1.3533081422701969</v>
      </c>
      <c r="J169" s="24">
        <v>0.1590389435626246</v>
      </c>
      <c r="K169" s="25">
        <f t="shared" si="7"/>
        <v>-0.30860977325038785</v>
      </c>
      <c r="L169" s="25">
        <f t="shared" si="8"/>
        <v>9.5239992145655802E-2</v>
      </c>
      <c r="M169" s="7"/>
      <c r="N169" s="7"/>
    </row>
    <row r="170" spans="1:14" x14ac:dyDescent="0.2">
      <c r="A170" s="44">
        <v>41548</v>
      </c>
      <c r="B170" s="23">
        <v>1.7389968170000001</v>
      </c>
      <c r="C170" s="1">
        <v>2.8</v>
      </c>
      <c r="D170" s="1">
        <v>2.9794594594594601</v>
      </c>
      <c r="E170" s="25">
        <f t="shared" si="4"/>
        <v>2.0040252089999999</v>
      </c>
      <c r="F170" s="25">
        <f t="shared" si="5"/>
        <v>2.2886529530000002</v>
      </c>
      <c r="G170" s="26">
        <f t="shared" si="6"/>
        <v>1.9417751394802967</v>
      </c>
      <c r="H170" s="24" cm="1">
        <f t="array" ref="H170:J170">LINEST(B120:B169,E120:F169)</f>
        <v>-0.34547605536918696</v>
      </c>
      <c r="I170" s="24">
        <v>1.2693387594610828</v>
      </c>
      <c r="J170" s="24">
        <v>0.18866306107098108</v>
      </c>
      <c r="K170" s="25">
        <f t="shared" si="7"/>
        <v>-0.20277832248029659</v>
      </c>
      <c r="L170" s="25">
        <f t="shared" si="8"/>
        <v>4.1119048067923158E-2</v>
      </c>
      <c r="M170" s="7"/>
      <c r="N170" s="7"/>
    </row>
    <row r="171" spans="1:14" x14ac:dyDescent="0.2">
      <c r="A171" s="44">
        <v>41579</v>
      </c>
      <c r="B171" s="23">
        <v>2.448889962</v>
      </c>
      <c r="C171" s="1">
        <v>2.8</v>
      </c>
      <c r="D171" s="1">
        <v>2.9482142857142901</v>
      </c>
      <c r="E171" s="25">
        <f t="shared" si="4"/>
        <v>1.7389968170000001</v>
      </c>
      <c r="F171" s="25">
        <f t="shared" si="5"/>
        <v>2.0040252089999999</v>
      </c>
      <c r="G171" s="26">
        <f t="shared" si="6"/>
        <v>1.7596694579938461</v>
      </c>
      <c r="H171" s="24" cm="1">
        <f t="array" ref="H171:J171">LINEST(B121:B170,E121:F170)</f>
        <v>-0.23583534023754663</v>
      </c>
      <c r="I171" s="24">
        <v>1.1443289133924144</v>
      </c>
      <c r="J171" s="24">
        <v>0.24230508701250397</v>
      </c>
      <c r="K171" s="25">
        <f t="shared" si="7"/>
        <v>0.68922050400615387</v>
      </c>
      <c r="L171" s="25">
        <f t="shared" si="8"/>
        <v>0.47502490314249673</v>
      </c>
      <c r="M171" s="7"/>
      <c r="N171" s="7"/>
    </row>
    <row r="172" spans="1:14" x14ac:dyDescent="0.2">
      <c r="A172" s="44">
        <v>41609</v>
      </c>
      <c r="B172" s="23">
        <v>2.8380748059999998</v>
      </c>
      <c r="C172" s="1">
        <v>2.8</v>
      </c>
      <c r="D172" s="1">
        <v>3.03571428571429</v>
      </c>
      <c r="E172" s="25">
        <f t="shared" si="4"/>
        <v>2.448889962</v>
      </c>
      <c r="F172" s="25">
        <f t="shared" si="5"/>
        <v>1.7389968170000001</v>
      </c>
      <c r="G172" s="26">
        <f t="shared" si="6"/>
        <v>2.6319949153926641</v>
      </c>
      <c r="H172" s="24" cm="1">
        <f t="array" ref="H172:J172">LINEST(B122:B171,E122:F171)</f>
        <v>-0.21025411183711828</v>
      </c>
      <c r="I172" s="24">
        <v>1.1156559428800501</v>
      </c>
      <c r="J172" s="24">
        <v>0.26550750707397475</v>
      </c>
      <c r="K172" s="25">
        <f t="shared" si="7"/>
        <v>0.20607989060733578</v>
      </c>
      <c r="L172" s="25">
        <f t="shared" si="8"/>
        <v>4.2468921312731479E-2</v>
      </c>
      <c r="M172" s="7"/>
      <c r="N172" s="7"/>
    </row>
    <row r="173" spans="1:14" x14ac:dyDescent="0.2">
      <c r="A173" s="44">
        <v>41640</v>
      </c>
      <c r="B173" s="23">
        <v>2.8393503760000001</v>
      </c>
      <c r="C173" s="1">
        <v>2.95</v>
      </c>
      <c r="D173" s="1">
        <v>3.1658227848101301</v>
      </c>
      <c r="E173" s="25">
        <f t="shared" si="4"/>
        <v>2.8380748059999998</v>
      </c>
      <c r="F173" s="25">
        <f t="shared" si="5"/>
        <v>2.448889962</v>
      </c>
      <c r="G173" s="26">
        <f t="shared" si="6"/>
        <v>2.9178262846758098</v>
      </c>
      <c r="H173" s="24" cm="1">
        <f t="array" ref="H173:J173">LINEST(B123:B172,E123:F172)</f>
        <v>-0.21031324301297438</v>
      </c>
      <c r="I173" s="24">
        <v>1.0751065426527036</v>
      </c>
      <c r="J173" s="24">
        <v>0.38162748189754708</v>
      </c>
      <c r="K173" s="25">
        <f t="shared" si="7"/>
        <v>-7.847590867580978E-2</v>
      </c>
      <c r="L173" s="25">
        <f t="shared" si="8"/>
        <v>6.1584682424940364E-3</v>
      </c>
      <c r="M173" s="7"/>
      <c r="N173" s="7"/>
    </row>
    <row r="174" spans="1:14" x14ac:dyDescent="0.2">
      <c r="A174" s="44">
        <v>41671</v>
      </c>
      <c r="B174" s="23">
        <v>3.2174840179999999</v>
      </c>
      <c r="C174" s="1">
        <v>3</v>
      </c>
      <c r="D174" s="1">
        <v>3.2302325581395399</v>
      </c>
      <c r="E174" s="25">
        <f t="shared" si="4"/>
        <v>2.8393503760000001</v>
      </c>
      <c r="F174" s="25">
        <f t="shared" si="5"/>
        <v>2.8380748059999998</v>
      </c>
      <c r="G174" s="26">
        <f t="shared" si="6"/>
        <v>2.8352587569217178</v>
      </c>
      <c r="H174" s="24" cm="1">
        <f t="array" ref="H174:J174">LINEST(B124:B173,E124:F173)</f>
        <v>-0.11153036227438563</v>
      </c>
      <c r="I174" s="24">
        <v>0.92905717679396027</v>
      </c>
      <c r="J174" s="24">
        <v>0.51387142394127483</v>
      </c>
      <c r="K174" s="25">
        <f t="shared" si="7"/>
        <v>0.38222526107828214</v>
      </c>
      <c r="L174" s="25">
        <f t="shared" si="8"/>
        <v>0.14609615020636094</v>
      </c>
      <c r="M174" s="7"/>
      <c r="N174" s="7"/>
    </row>
    <row r="175" spans="1:14" x14ac:dyDescent="0.2">
      <c r="A175" s="44">
        <v>41699</v>
      </c>
      <c r="B175" s="23">
        <v>3.5049060952732001</v>
      </c>
      <c r="C175" s="1">
        <v>3</v>
      </c>
      <c r="D175" s="1">
        <v>3.4167664670658699</v>
      </c>
      <c r="E175" s="25">
        <f t="shared" si="4"/>
        <v>3.2174840179999999</v>
      </c>
      <c r="F175" s="25">
        <f t="shared" si="5"/>
        <v>2.8393503760000001</v>
      </c>
      <c r="G175" s="26">
        <f t="shared" si="6"/>
        <v>3.1724633234900819</v>
      </c>
      <c r="H175" s="24" cm="1">
        <f t="array" ref="H175:J175">LINEST(B125:B174,E125:F174)</f>
        <v>-8.0360759198447262E-2</v>
      </c>
      <c r="I175" s="24">
        <v>0.87527802163430735</v>
      </c>
      <c r="J175" s="24">
        <v>0.5844426294207965</v>
      </c>
      <c r="K175" s="25">
        <f t="shared" si="7"/>
        <v>0.33244277178311821</v>
      </c>
      <c r="L175" s="25">
        <f t="shared" si="8"/>
        <v>0.11051819651084241</v>
      </c>
      <c r="M175" s="7"/>
      <c r="N175" s="7"/>
    </row>
    <row r="176" spans="1:14" x14ac:dyDescent="0.2">
      <c r="A176" s="44">
        <v>41730</v>
      </c>
      <c r="B176" s="23">
        <v>4.331577051</v>
      </c>
      <c r="C176" s="1">
        <v>3</v>
      </c>
      <c r="D176" s="1">
        <v>3.5594117647058798</v>
      </c>
      <c r="E176" s="25">
        <f t="shared" si="4"/>
        <v>3.5049060952732001</v>
      </c>
      <c r="F176" s="25">
        <f t="shared" si="5"/>
        <v>3.2174840179999999</v>
      </c>
      <c r="G176" s="26">
        <f t="shared" si="6"/>
        <v>3.4128015706491599</v>
      </c>
      <c r="H176" s="24" cm="1">
        <f t="array" ref="H176:J176">LINEST(B126:B175,E126:F175)</f>
        <v>-8.9117578398167779E-2</v>
      </c>
      <c r="I176" s="24">
        <v>0.89599705745095415</v>
      </c>
      <c r="J176" s="24">
        <v>0.55915040686142625</v>
      </c>
      <c r="K176" s="25">
        <f t="shared" si="7"/>
        <v>0.91877548035084011</v>
      </c>
      <c r="L176" s="25">
        <f t="shared" si="8"/>
        <v>0.84414838329391695</v>
      </c>
      <c r="M176" s="7"/>
      <c r="N176" s="7"/>
    </row>
    <row r="177" spans="1:14" x14ac:dyDescent="0.2">
      <c r="A177" s="44">
        <v>41760</v>
      </c>
      <c r="B177" s="23">
        <v>4.7390175570000004</v>
      </c>
      <c r="C177" s="1">
        <v>3.1</v>
      </c>
      <c r="D177" s="1">
        <v>3.8339393939394002</v>
      </c>
      <c r="E177" s="25">
        <f t="shared" si="4"/>
        <v>4.331577051</v>
      </c>
      <c r="F177" s="25">
        <f t="shared" si="5"/>
        <v>3.5049060952732001</v>
      </c>
      <c r="G177" s="26">
        <f t="shared" si="6"/>
        <v>4.2289662461298949</v>
      </c>
      <c r="H177" s="24" cm="1">
        <f t="array" ref="H177:J177">LINEST(B127:B176,E127:F176)</f>
        <v>-4.4267465268137046E-2</v>
      </c>
      <c r="I177" s="24">
        <v>0.92310593332580193</v>
      </c>
      <c r="J177" s="24">
        <v>0.38561507853450361</v>
      </c>
      <c r="K177" s="25">
        <f t="shared" si="7"/>
        <v>0.51005131087010547</v>
      </c>
      <c r="L177" s="25">
        <f t="shared" si="8"/>
        <v>0.26015233972031299</v>
      </c>
      <c r="M177" s="7"/>
      <c r="N177" s="7"/>
    </row>
    <row r="178" spans="1:14" x14ac:dyDescent="0.2">
      <c r="A178" s="44">
        <v>41791</v>
      </c>
      <c r="B178" s="23">
        <v>4.314826847</v>
      </c>
      <c r="C178" s="1">
        <v>3</v>
      </c>
      <c r="D178" s="1">
        <v>3.8109090909090901</v>
      </c>
      <c r="E178" s="25">
        <f t="shared" si="4"/>
        <v>4.7390175570000004</v>
      </c>
      <c r="F178" s="25">
        <f t="shared" si="5"/>
        <v>4.331577051</v>
      </c>
      <c r="G178" s="26">
        <f t="shared" si="6"/>
        <v>4.6029948125498521</v>
      </c>
      <c r="H178" s="24" cm="1">
        <f t="array" ref="H178:J178">LINEST(B128:B177,E128:F177)</f>
        <v>-0.15279962400104627</v>
      </c>
      <c r="I178" s="24">
        <v>1.0228046323026514</v>
      </c>
      <c r="J178" s="24">
        <v>0.41776904741101817</v>
      </c>
      <c r="K178" s="25">
        <f t="shared" si="7"/>
        <v>-0.28816796554985213</v>
      </c>
      <c r="L178" s="25">
        <f t="shared" si="8"/>
        <v>8.304077636914077E-2</v>
      </c>
      <c r="M178" s="7"/>
      <c r="N178" s="7"/>
    </row>
    <row r="179" spans="1:14" x14ac:dyDescent="0.2">
      <c r="A179" s="44">
        <v>41821</v>
      </c>
      <c r="B179" s="23">
        <v>4.5008999919999999</v>
      </c>
      <c r="C179" s="1">
        <v>3</v>
      </c>
      <c r="D179" s="1">
        <v>3.7518750000000001</v>
      </c>
      <c r="E179" s="25">
        <f t="shared" si="4"/>
        <v>4.314826847</v>
      </c>
      <c r="F179" s="25">
        <f t="shared" si="5"/>
        <v>4.7390175570000004</v>
      </c>
      <c r="G179" s="26">
        <f t="shared" si="6"/>
        <v>4.1017354186485546</v>
      </c>
      <c r="H179" s="24" cm="1">
        <f t="array" ref="H179:J179">LINEST(B129:B178,E129:F178)</f>
        <v>-0.1436784832415105</v>
      </c>
      <c r="I179" s="24">
        <v>1.0140742803658407</v>
      </c>
      <c r="J179" s="24">
        <v>0.40707534351846897</v>
      </c>
      <c r="K179" s="25">
        <f t="shared" si="7"/>
        <v>0.39916457335144528</v>
      </c>
      <c r="L179" s="25">
        <f t="shared" si="8"/>
        <v>0.15933235661884135</v>
      </c>
      <c r="M179" s="7"/>
      <c r="N179" s="7"/>
    </row>
    <row r="180" spans="1:14" x14ac:dyDescent="0.2">
      <c r="A180" s="44">
        <v>41852</v>
      </c>
      <c r="B180" s="23">
        <v>4.5428083800000003</v>
      </c>
      <c r="C180" s="1">
        <v>3</v>
      </c>
      <c r="D180" s="1">
        <v>3.6614906832298102</v>
      </c>
      <c r="E180" s="25">
        <f t="shared" si="4"/>
        <v>4.5008999919999999</v>
      </c>
      <c r="F180" s="25">
        <f t="shared" si="5"/>
        <v>4.314826847</v>
      </c>
      <c r="G180" s="26">
        <f t="shared" si="6"/>
        <v>4.3982691957336524</v>
      </c>
      <c r="H180" s="24" cm="1">
        <f t="array" ref="H180:J180">LINEST(B130:B179,E130:F179)</f>
        <v>-9.68809226344714E-2</v>
      </c>
      <c r="I180" s="24">
        <v>0.9955335432369451</v>
      </c>
      <c r="J180" s="24">
        <v>0.33549668488810219</v>
      </c>
      <c r="K180" s="25">
        <f t="shared" si="7"/>
        <v>0.14453918426634793</v>
      </c>
      <c r="L180" s="25">
        <f t="shared" si="8"/>
        <v>2.0891575788381283E-2</v>
      </c>
      <c r="M180" s="7"/>
      <c r="N180" s="7"/>
    </row>
    <row r="181" spans="1:14" x14ac:dyDescent="0.2">
      <c r="A181" s="44">
        <v>41883</v>
      </c>
      <c r="B181" s="23">
        <v>4.905575228</v>
      </c>
      <c r="C181" s="1">
        <v>3.2</v>
      </c>
      <c r="D181" s="1">
        <v>3.83051948051948</v>
      </c>
      <c r="E181" s="25">
        <f t="shared" si="4"/>
        <v>4.5428083800000003</v>
      </c>
      <c r="F181" s="25">
        <f t="shared" si="5"/>
        <v>4.5008999919999999</v>
      </c>
      <c r="G181" s="26">
        <f t="shared" si="6"/>
        <v>4.4052959941145478</v>
      </c>
      <c r="H181" s="24" cm="1">
        <f t="array" ref="H181:J181">LINEST(B131:B180,E131:F180)</f>
        <v>-0.14315225053769118</v>
      </c>
      <c r="I181" s="24">
        <v>1.0239772986217994</v>
      </c>
      <c r="J181" s="24">
        <v>0.39787730430555052</v>
      </c>
      <c r="K181" s="25">
        <f t="shared" si="7"/>
        <v>0.50027923388545226</v>
      </c>
      <c r="L181" s="25">
        <f t="shared" si="8"/>
        <v>0.25027931185701502</v>
      </c>
      <c r="M181" s="7"/>
      <c r="N181" s="7"/>
    </row>
    <row r="182" spans="1:14" x14ac:dyDescent="0.2">
      <c r="A182" s="44">
        <v>41913</v>
      </c>
      <c r="B182" s="23">
        <v>5.6832686030000001</v>
      </c>
      <c r="C182" s="1">
        <v>3.3</v>
      </c>
      <c r="D182" s="1">
        <v>4.0458598726114703</v>
      </c>
      <c r="E182" s="25">
        <f t="shared" si="4"/>
        <v>4.905575228</v>
      </c>
      <c r="F182" s="25">
        <f t="shared" si="5"/>
        <v>4.5428083800000003</v>
      </c>
      <c r="G182" s="26">
        <f t="shared" si="6"/>
        <v>4.8739971123723622</v>
      </c>
      <c r="H182" s="24" cm="1">
        <f t="array" ref="H182:J182">LINEST(B132:B181,E132:F181)</f>
        <v>-0.15662935313468118</v>
      </c>
      <c r="I182" s="24">
        <v>1.091006831360311</v>
      </c>
      <c r="J182" s="24">
        <v>0.2335181648466565</v>
      </c>
      <c r="K182" s="25">
        <f t="shared" si="7"/>
        <v>0.80927149062763792</v>
      </c>
      <c r="L182" s="25">
        <f t="shared" si="8"/>
        <v>0.65492034554267908</v>
      </c>
      <c r="M182" s="7"/>
      <c r="N182" s="7"/>
    </row>
    <row r="183" spans="1:14" x14ac:dyDescent="0.2">
      <c r="A183" s="44">
        <v>41944</v>
      </c>
      <c r="B183" s="23">
        <v>5.451905161</v>
      </c>
      <c r="C183" s="1">
        <v>3.1</v>
      </c>
      <c r="D183" s="1">
        <v>4.1419354838709701</v>
      </c>
      <c r="E183" s="25">
        <f t="shared" si="4"/>
        <v>5.6832686030000001</v>
      </c>
      <c r="F183" s="25">
        <f t="shared" si="5"/>
        <v>4.905575228</v>
      </c>
      <c r="G183" s="26">
        <f t="shared" si="6"/>
        <v>5.7729646642618304</v>
      </c>
      <c r="H183" s="24" cm="1">
        <f t="array" ref="H183:J183">LINEST(B133:B182,E133:F182)</f>
        <v>-0.14699382543294504</v>
      </c>
      <c r="I183" s="24">
        <v>1.1183073186494079</v>
      </c>
      <c r="J183" s="24">
        <v>0.1384130603893452</v>
      </c>
      <c r="K183" s="25">
        <f t="shared" si="7"/>
        <v>-0.32105950326183041</v>
      </c>
      <c r="L183" s="25">
        <f t="shared" si="8"/>
        <v>0.1030792046347333</v>
      </c>
      <c r="M183" s="7"/>
      <c r="N183" s="7"/>
    </row>
    <row r="184" spans="1:14" x14ac:dyDescent="0.2">
      <c r="A184" s="44">
        <v>41974</v>
      </c>
      <c r="B184" s="23">
        <v>4.6463810380000004</v>
      </c>
      <c r="C184" s="1">
        <v>2.7</v>
      </c>
      <c r="D184" s="1">
        <v>4.0298701298701296</v>
      </c>
      <c r="E184" s="25">
        <f t="shared" si="4"/>
        <v>5.451905161</v>
      </c>
      <c r="F184" s="25">
        <f t="shared" si="5"/>
        <v>5.6832686030000001</v>
      </c>
      <c r="G184" s="26">
        <f t="shared" si="6"/>
        <v>5.3370540412342278</v>
      </c>
      <c r="H184" s="24" cm="1">
        <f t="array" ref="H184:J184">LINEST(B134:B183,E134:F183)</f>
        <v>-0.17690244033588073</v>
      </c>
      <c r="I184" s="24">
        <v>1.1214278670555566</v>
      </c>
      <c r="J184" s="24">
        <v>0.22851975009980829</v>
      </c>
      <c r="K184" s="25">
        <f t="shared" si="7"/>
        <v>-0.69067300323422742</v>
      </c>
      <c r="L184" s="25">
        <f t="shared" si="8"/>
        <v>0.47702919739658711</v>
      </c>
      <c r="M184" s="7"/>
      <c r="N184" s="7"/>
    </row>
    <row r="185" spans="1:14" x14ac:dyDescent="0.2">
      <c r="A185" s="44">
        <v>42005</v>
      </c>
      <c r="B185" s="23">
        <v>4.5402757539999996</v>
      </c>
      <c r="C185" s="1">
        <v>2.7</v>
      </c>
      <c r="D185" s="1">
        <v>3.6931250000000002</v>
      </c>
      <c r="E185" s="25">
        <f t="shared" si="4"/>
        <v>4.6463810380000004</v>
      </c>
      <c r="F185" s="25">
        <f t="shared" si="5"/>
        <v>5.451905161</v>
      </c>
      <c r="G185" s="26">
        <f t="shared" si="6"/>
        <v>4.3502747310291365</v>
      </c>
      <c r="H185" s="24" cm="1">
        <f t="array" ref="H185:J185">LINEST(B135:B184,E135:F184)</f>
        <v>-0.2428016611894587</v>
      </c>
      <c r="I185" s="24">
        <v>1.1547657572831429</v>
      </c>
      <c r="J185" s="24">
        <v>0.30852464279521485</v>
      </c>
      <c r="K185" s="25">
        <f t="shared" si="7"/>
        <v>0.19000102297086308</v>
      </c>
      <c r="L185" s="25">
        <f t="shared" si="8"/>
        <v>3.6100388729974439E-2</v>
      </c>
      <c r="M185" s="7"/>
      <c r="N185" s="7"/>
    </row>
    <row r="186" spans="1:14" x14ac:dyDescent="0.2">
      <c r="A186" s="44">
        <v>42036</v>
      </c>
      <c r="B186" s="23">
        <v>4.3999237579999999</v>
      </c>
      <c r="C186" s="1">
        <v>3</v>
      </c>
      <c r="D186" s="1">
        <v>3.6443661971830998</v>
      </c>
      <c r="E186" s="25">
        <f t="shared" si="4"/>
        <v>4.5402757539999996</v>
      </c>
      <c r="F186" s="25">
        <f t="shared" si="5"/>
        <v>4.6463810380000004</v>
      </c>
      <c r="G186" s="26">
        <f t="shared" si="6"/>
        <v>4.4442107182365733</v>
      </c>
      <c r="H186" s="24" cm="1">
        <f t="array" ref="H186:J186">LINEST(B136:B185,E136:F185)</f>
        <v>-0.21345952577870184</v>
      </c>
      <c r="I186" s="24">
        <v>1.1389132151452017</v>
      </c>
      <c r="J186" s="24">
        <v>0.26504495456126087</v>
      </c>
      <c r="K186" s="25">
        <f t="shared" si="7"/>
        <v>-4.4286960236573414E-2</v>
      </c>
      <c r="L186" s="25">
        <f t="shared" si="8"/>
        <v>1.9613348469958345E-3</v>
      </c>
      <c r="M186" s="7"/>
      <c r="N186" s="7"/>
    </row>
    <row r="187" spans="1:14" x14ac:dyDescent="0.2">
      <c r="A187" s="44">
        <v>42064</v>
      </c>
      <c r="B187" s="23">
        <v>4.1840449919999996</v>
      </c>
      <c r="C187" s="1">
        <v>3</v>
      </c>
      <c r="D187" s="1">
        <v>3.6319727891156499</v>
      </c>
      <c r="E187" s="25">
        <f t="shared" si="4"/>
        <v>4.3999237579999999</v>
      </c>
      <c r="F187" s="25">
        <f t="shared" si="5"/>
        <v>4.5402757539999996</v>
      </c>
      <c r="G187" s="26">
        <f t="shared" si="6"/>
        <v>4.3085811461227221</v>
      </c>
      <c r="H187" s="24" cm="1">
        <f t="array" ref="H187:J187">LINEST(B137:B186,E137:F186)</f>
        <v>-0.19402114819843458</v>
      </c>
      <c r="I187" s="24">
        <v>1.1240110963546874</v>
      </c>
      <c r="J187" s="24">
        <v>0.24392753394469824</v>
      </c>
      <c r="K187" s="25">
        <f t="shared" si="7"/>
        <v>-0.12453615412272256</v>
      </c>
      <c r="L187" s="25">
        <f t="shared" si="8"/>
        <v>1.5509253683678509E-2</v>
      </c>
      <c r="M187" s="7"/>
      <c r="N187" s="7"/>
    </row>
    <row r="188" spans="1:14" x14ac:dyDescent="0.2">
      <c r="A188" s="44">
        <v>42095</v>
      </c>
      <c r="B188" s="23">
        <v>4.1362888599999996</v>
      </c>
      <c r="C188" s="1">
        <v>3.2</v>
      </c>
      <c r="D188" s="1">
        <v>3.8952702702702702</v>
      </c>
      <c r="E188" s="25">
        <f t="shared" si="4"/>
        <v>4.1840449919999996</v>
      </c>
      <c r="F188" s="25">
        <f t="shared" si="5"/>
        <v>4.3999237579999999</v>
      </c>
      <c r="G188" s="26">
        <f t="shared" si="6"/>
        <v>4.0851122394905159</v>
      </c>
      <c r="H188" s="24" cm="1">
        <f t="array" ref="H188:J188">LINEST(B138:B187,E138:F187)</f>
        <v>-0.22399685684053128</v>
      </c>
      <c r="I188" s="24">
        <v>1.1477554868041191</v>
      </c>
      <c r="J188" s="24">
        <v>0.26842073501719788</v>
      </c>
      <c r="K188" s="25">
        <f t="shared" si="7"/>
        <v>5.1176620509483683E-2</v>
      </c>
      <c r="L188" s="25">
        <f t="shared" si="8"/>
        <v>2.6190464867717062E-3</v>
      </c>
      <c r="M188" s="7"/>
      <c r="N188" s="7"/>
    </row>
    <row r="189" spans="1:14" x14ac:dyDescent="0.2">
      <c r="A189" s="44">
        <v>42125</v>
      </c>
      <c r="B189" s="23">
        <v>3.9692351779999999</v>
      </c>
      <c r="C189" s="1">
        <v>3.1</v>
      </c>
      <c r="D189" s="1">
        <v>3.8374149659864001</v>
      </c>
      <c r="E189" s="25">
        <f t="shared" si="4"/>
        <v>4.1362888599999996</v>
      </c>
      <c r="F189" s="25">
        <f t="shared" si="5"/>
        <v>4.1840449919999996</v>
      </c>
      <c r="G189" s="26">
        <f t="shared" si="6"/>
        <v>4.0816038017067493</v>
      </c>
      <c r="H189" s="24" cm="1">
        <f t="array" ref="H189:J189">LINEST(B139:B188,E139:F188)</f>
        <v>-0.22009113283379447</v>
      </c>
      <c r="I189" s="24">
        <v>1.1444073783792472</v>
      </c>
      <c r="J189" s="24">
        <v>0.26887551333170923</v>
      </c>
      <c r="K189" s="25">
        <f t="shared" si="7"/>
        <v>-0.11236862370674938</v>
      </c>
      <c r="L189" s="25">
        <f t="shared" si="8"/>
        <v>1.2626707593749039E-2</v>
      </c>
      <c r="M189" s="7"/>
      <c r="N189" s="7"/>
    </row>
    <row r="190" spans="1:14" x14ac:dyDescent="0.2">
      <c r="A190" s="44">
        <v>42156</v>
      </c>
      <c r="B190" s="23">
        <v>4.4188928719999998</v>
      </c>
      <c r="C190" s="1">
        <v>3</v>
      </c>
      <c r="D190" s="1">
        <v>3.8013245033112599</v>
      </c>
      <c r="E190" s="25">
        <f t="shared" si="4"/>
        <v>3.9692351779999999</v>
      </c>
      <c r="F190" s="25">
        <f t="shared" si="5"/>
        <v>4.1362888599999996</v>
      </c>
      <c r="G190" s="26">
        <f t="shared" si="6"/>
        <v>3.887808495237616</v>
      </c>
      <c r="H190" s="24" cm="1">
        <f t="array" ref="H190:J190">LINEST(B140:B189,E140:F189)</f>
        <v>-0.22550082797402624</v>
      </c>
      <c r="I190" s="24">
        <v>1.1542125857602352</v>
      </c>
      <c r="J190" s="24">
        <v>0.23920385961748958</v>
      </c>
      <c r="K190" s="25">
        <f t="shared" si="7"/>
        <v>0.53108437676238385</v>
      </c>
      <c r="L190" s="25">
        <f t="shared" si="8"/>
        <v>0.28205061524108965</v>
      </c>
      <c r="M190" s="7"/>
      <c r="N190" s="7"/>
    </row>
    <row r="191" spans="1:14" x14ac:dyDescent="0.2">
      <c r="A191" s="44">
        <v>42186</v>
      </c>
      <c r="B191" s="23">
        <v>4.6173670170000003</v>
      </c>
      <c r="C191" s="1">
        <v>3.2</v>
      </c>
      <c r="D191" s="1">
        <v>3.9352201257861599</v>
      </c>
      <c r="E191" s="25">
        <f t="shared" si="4"/>
        <v>4.4188928719999998</v>
      </c>
      <c r="F191" s="25">
        <f t="shared" si="5"/>
        <v>3.9692351779999999</v>
      </c>
      <c r="G191" s="26">
        <f t="shared" si="6"/>
        <v>4.4725718707985003</v>
      </c>
      <c r="H191" s="24" cm="1">
        <f t="array" ref="H191:J191">LINEST(B141:B190,E141:F190)</f>
        <v>-0.23784724268853755</v>
      </c>
      <c r="I191" s="24">
        <v>1.1718659391756454</v>
      </c>
      <c r="J191" s="24">
        <v>0.23829346790530215</v>
      </c>
      <c r="K191" s="25">
        <f t="shared" si="7"/>
        <v>0.14479514620150002</v>
      </c>
      <c r="L191" s="25">
        <f t="shared" si="8"/>
        <v>2.0965634363513768E-2</v>
      </c>
      <c r="M191" s="7"/>
      <c r="N191" s="7"/>
    </row>
    <row r="192" spans="1:14" x14ac:dyDescent="0.2">
      <c r="A192" s="44">
        <v>42217</v>
      </c>
      <c r="B192" s="23">
        <v>4.9833540349999996</v>
      </c>
      <c r="C192" s="1">
        <v>3.5</v>
      </c>
      <c r="D192" s="1">
        <v>4.2266666666666701</v>
      </c>
      <c r="E192" s="25">
        <f t="shared" si="4"/>
        <v>4.6173670170000003</v>
      </c>
      <c r="F192" s="25">
        <f t="shared" si="5"/>
        <v>4.4188928719999998</v>
      </c>
      <c r="G192" s="26">
        <f t="shared" si="6"/>
        <v>4.6041192294958018</v>
      </c>
      <c r="H192" s="24" cm="1">
        <f t="array" ref="H192:J192">LINEST(B142:B191,E142:F191)</f>
        <v>-0.24586499043924376</v>
      </c>
      <c r="I192" s="24">
        <v>1.1818971547791457</v>
      </c>
      <c r="J192" s="24">
        <v>0.23331734325875231</v>
      </c>
      <c r="K192" s="25">
        <f t="shared" si="7"/>
        <v>0.37923480550419786</v>
      </c>
      <c r="L192" s="25">
        <f t="shared" si="8"/>
        <v>0.14381903770580678</v>
      </c>
      <c r="M192" s="7"/>
      <c r="N192" s="7"/>
    </row>
    <row r="193" spans="1:14" x14ac:dyDescent="0.2">
      <c r="A193" s="44">
        <v>42248</v>
      </c>
      <c r="B193" s="23">
        <v>4.6448142179999996</v>
      </c>
      <c r="C193" s="1">
        <v>3.7</v>
      </c>
      <c r="D193" s="1">
        <v>4.5534246575342499</v>
      </c>
      <c r="E193" s="25">
        <f t="shared" si="4"/>
        <v>4.9833540349999996</v>
      </c>
      <c r="F193" s="25">
        <f t="shared" si="5"/>
        <v>4.6173670170000003</v>
      </c>
      <c r="G193" s="26">
        <f t="shared" si="6"/>
        <v>5.0058677189520147</v>
      </c>
      <c r="H193" s="24" cm="1">
        <f t="array" ref="H193:J193">LINEST(B143:B192,E143:F192)</f>
        <v>-0.24966172954809271</v>
      </c>
      <c r="I193" s="24">
        <v>1.1929536294467855</v>
      </c>
      <c r="J193" s="24">
        <v>0.21373727150302013</v>
      </c>
      <c r="K193" s="25">
        <f t="shared" si="7"/>
        <v>-0.36105350095201505</v>
      </c>
      <c r="L193" s="25">
        <f t="shared" si="8"/>
        <v>0.13035963054970673</v>
      </c>
      <c r="M193" s="7"/>
      <c r="N193" s="7"/>
    </row>
    <row r="194" spans="1:14" x14ac:dyDescent="0.2">
      <c r="A194" s="44">
        <v>42278</v>
      </c>
      <c r="B194" s="23">
        <v>3.9892012989999999</v>
      </c>
      <c r="C194" s="1">
        <v>3.5</v>
      </c>
      <c r="D194" s="1">
        <v>4.3953642384106004</v>
      </c>
      <c r="E194" s="25">
        <f t="shared" si="4"/>
        <v>4.6448142179999996</v>
      </c>
      <c r="F194" s="25">
        <f t="shared" si="5"/>
        <v>4.9833540349999996</v>
      </c>
      <c r="G194" s="26">
        <f t="shared" si="6"/>
        <v>4.5047581842995283</v>
      </c>
      <c r="H194" s="24" cm="1">
        <f t="array" ref="H194:J194">LINEST(B144:B193,E144:F193)</f>
        <v>-0.25044120683021981</v>
      </c>
      <c r="I194" s="24">
        <v>1.185701641236895</v>
      </c>
      <c r="J194" s="24">
        <v>0.2454315413641095</v>
      </c>
      <c r="K194" s="25">
        <f t="shared" si="7"/>
        <v>-0.51555688529952848</v>
      </c>
      <c r="L194" s="25">
        <f t="shared" si="8"/>
        <v>0.26579890197975115</v>
      </c>
      <c r="M194" s="7"/>
      <c r="N194" s="7"/>
    </row>
    <row r="195" spans="1:14" x14ac:dyDescent="0.2">
      <c r="A195" s="44">
        <v>42309</v>
      </c>
      <c r="B195" s="23">
        <v>3.9366702180000002</v>
      </c>
      <c r="C195" s="1">
        <v>3.5</v>
      </c>
      <c r="D195" s="1">
        <v>4.26644295302013</v>
      </c>
      <c r="E195" s="25">
        <f t="shared" si="4"/>
        <v>3.9892012989999999</v>
      </c>
      <c r="F195" s="25">
        <f t="shared" si="5"/>
        <v>4.6448142179999996</v>
      </c>
      <c r="G195" s="26">
        <f t="shared" si="6"/>
        <v>3.74966755606687</v>
      </c>
      <c r="H195" s="24" cm="1">
        <f t="array" ref="H195:J195">LINEST(B145:B194,E145:F194)</f>
        <v>-0.30742340829904324</v>
      </c>
      <c r="I195" s="24">
        <v>1.2323774700162018</v>
      </c>
      <c r="J195" s="24">
        <v>0.26139036963331952</v>
      </c>
      <c r="K195" s="25">
        <f t="shared" si="7"/>
        <v>0.1870026619331302</v>
      </c>
      <c r="L195" s="25">
        <f t="shared" si="8"/>
        <v>3.496999557007658E-2</v>
      </c>
      <c r="M195" s="7"/>
      <c r="N195" s="7"/>
    </row>
    <row r="196" spans="1:14" x14ac:dyDescent="0.2">
      <c r="A196" s="44">
        <v>42339</v>
      </c>
      <c r="B196" s="23">
        <v>4.3785121279999997</v>
      </c>
      <c r="C196" s="1">
        <v>3.5</v>
      </c>
      <c r="D196" s="1">
        <v>4.2218309859154903</v>
      </c>
      <c r="E196" s="25">
        <f t="shared" si="4"/>
        <v>3.9366702180000002</v>
      </c>
      <c r="F196" s="25">
        <f t="shared" si="5"/>
        <v>3.9892012989999999</v>
      </c>
      <c r="G196" s="26">
        <f t="shared" si="6"/>
        <v>3.892768272882571</v>
      </c>
      <c r="H196" s="24" cm="1">
        <f t="array" ref="H196:J196">LINEST(B146:B195,E146:F195)</f>
        <v>-0.290612517236367</v>
      </c>
      <c r="I196" s="24">
        <v>1.2180454816664736</v>
      </c>
      <c r="J196" s="24">
        <v>0.25703673230167379</v>
      </c>
      <c r="K196" s="25">
        <f t="shared" si="7"/>
        <v>0.48574385511742868</v>
      </c>
      <c r="L196" s="25">
        <f t="shared" si="8"/>
        <v>0.23594709278434153</v>
      </c>
      <c r="M196" s="7"/>
      <c r="N196" s="7"/>
    </row>
    <row r="197" spans="1:14" x14ac:dyDescent="0.2">
      <c r="A197" s="44">
        <v>42370</v>
      </c>
      <c r="B197" s="23">
        <v>4.7886569699999999</v>
      </c>
      <c r="C197" s="1">
        <v>3.5</v>
      </c>
      <c r="D197" s="1">
        <v>4.0808510638297903</v>
      </c>
      <c r="E197" s="25">
        <f t="shared" ref="E197:E260" si="9">B196</f>
        <v>4.3785121279999997</v>
      </c>
      <c r="F197" s="25">
        <f t="shared" si="5"/>
        <v>3.9366702180000002</v>
      </c>
      <c r="G197" s="26">
        <f t="shared" si="6"/>
        <v>4.4490846143957556</v>
      </c>
      <c r="H197" s="24" cm="1">
        <f t="array" ref="H197:J197">LINEST(B147:B196,E147:F196)</f>
        <v>-0.28030150005433629</v>
      </c>
      <c r="I197" s="24">
        <v>1.2126151315099241</v>
      </c>
      <c r="J197" s="24">
        <v>0.24308912180786979</v>
      </c>
      <c r="K197" s="25">
        <f t="shared" si="7"/>
        <v>0.33957235560424426</v>
      </c>
      <c r="L197" s="25">
        <f t="shared" si="8"/>
        <v>0.11530938469061532</v>
      </c>
      <c r="M197" s="7"/>
      <c r="N197" s="7"/>
    </row>
    <row r="198" spans="1:14" x14ac:dyDescent="0.2">
      <c r="A198" s="44">
        <v>42401</v>
      </c>
      <c r="B198" s="23">
        <v>4.7116053879999997</v>
      </c>
      <c r="C198" s="1">
        <v>3.4</v>
      </c>
      <c r="D198" s="1">
        <v>4.1120300751879704</v>
      </c>
      <c r="E198" s="25">
        <f t="shared" si="9"/>
        <v>4.7886569699999999</v>
      </c>
      <c r="F198" s="25">
        <f t="shared" ref="F198:F261" si="10">B196</f>
        <v>4.3785121279999997</v>
      </c>
      <c r="G198" s="26">
        <f t="shared" si="6"/>
        <v>4.8345240928675217</v>
      </c>
      <c r="H198" s="24" cm="1">
        <f t="array" ref="H198:J198">LINEST(B148:B197,E148:F197)</f>
        <v>-0.28935484080722423</v>
      </c>
      <c r="I198" s="24">
        <v>1.2250709185429305</v>
      </c>
      <c r="J198" s="24">
        <v>0.23502337981255572</v>
      </c>
      <c r="K198" s="25">
        <f t="shared" si="7"/>
        <v>-0.12291870486752199</v>
      </c>
      <c r="L198" s="25">
        <f t="shared" si="8"/>
        <v>1.5109008006308974E-2</v>
      </c>
      <c r="M198" s="7"/>
      <c r="N198" s="7"/>
    </row>
    <row r="199" spans="1:14" x14ac:dyDescent="0.2">
      <c r="A199" s="44">
        <v>42430</v>
      </c>
      <c r="B199" s="23">
        <v>4.4520436060000002</v>
      </c>
      <c r="C199" s="1">
        <v>3.3</v>
      </c>
      <c r="D199" s="1">
        <v>4.1043478260869604</v>
      </c>
      <c r="E199" s="25">
        <f t="shared" si="9"/>
        <v>4.7116053879999997</v>
      </c>
      <c r="F199" s="25">
        <f t="shared" si="10"/>
        <v>4.7886569699999999</v>
      </c>
      <c r="G199" s="26">
        <f t="shared" si="6"/>
        <v>4.6065811140397948</v>
      </c>
      <c r="H199" s="24" cm="1">
        <f t="array" ref="H199:J199">LINEST(B149:B198,E149:F198)</f>
        <v>-0.27245503864252146</v>
      </c>
      <c r="I199" s="24">
        <v>1.2041977165547617</v>
      </c>
      <c r="J199" s="24">
        <v>0.23757038431021316</v>
      </c>
      <c r="K199" s="25">
        <f t="shared" si="7"/>
        <v>-0.1545375080397946</v>
      </c>
      <c r="L199" s="25">
        <f t="shared" si="8"/>
        <v>2.3881841391149582E-2</v>
      </c>
      <c r="M199" s="7"/>
      <c r="N199" s="7"/>
    </row>
    <row r="200" spans="1:14" x14ac:dyDescent="0.2">
      <c r="A200" s="44">
        <v>42461</v>
      </c>
      <c r="B200" s="23">
        <v>4.1935543549999998</v>
      </c>
      <c r="C200" s="1">
        <v>3.3</v>
      </c>
      <c r="D200" s="1">
        <v>4.0191780821917797</v>
      </c>
      <c r="E200" s="25">
        <f t="shared" si="9"/>
        <v>4.4520436060000002</v>
      </c>
      <c r="F200" s="25">
        <f t="shared" si="10"/>
        <v>4.7116053879999997</v>
      </c>
      <c r="G200" s="26">
        <f t="shared" si="6"/>
        <v>4.3120466461705913</v>
      </c>
      <c r="H200" s="24" cm="1">
        <f t="array" ref="H200:J200">LINEST(B150:B199,E150:F199)</f>
        <v>-0.29108224058613891</v>
      </c>
      <c r="I200" s="24">
        <v>1.2226060135099788</v>
      </c>
      <c r="J200" s="24">
        <v>0.2404160141631051</v>
      </c>
      <c r="K200" s="25">
        <f t="shared" si="7"/>
        <v>-0.11849229117059146</v>
      </c>
      <c r="L200" s="25">
        <f t="shared" si="8"/>
        <v>1.4040423066856227E-2</v>
      </c>
      <c r="M200" s="7"/>
      <c r="N200" s="7"/>
    </row>
    <row r="201" spans="1:14" x14ac:dyDescent="0.2">
      <c r="A201" s="44">
        <v>42491</v>
      </c>
      <c r="B201" s="23">
        <v>4.2432470169999998</v>
      </c>
      <c r="C201" s="1">
        <v>3.2</v>
      </c>
      <c r="D201" s="1">
        <v>4.0378571428571401</v>
      </c>
      <c r="E201" s="25">
        <f t="shared" si="9"/>
        <v>4.1935543549999998</v>
      </c>
      <c r="F201" s="25">
        <f t="shared" si="10"/>
        <v>4.4520436060000002</v>
      </c>
      <c r="G201" s="26">
        <f t="shared" si="6"/>
        <v>4.0566290572205848</v>
      </c>
      <c r="H201" s="24" cm="1">
        <f t="array" ref="H201:J201">LINEST(B151:B200,E151:F200)</f>
        <v>-0.30435844385612654</v>
      </c>
      <c r="I201" s="24">
        <v>1.2307415287378189</v>
      </c>
      <c r="J201" s="24">
        <v>0.25046462340452402</v>
      </c>
      <c r="K201" s="25">
        <f t="shared" si="7"/>
        <v>0.18661795977941509</v>
      </c>
      <c r="L201" s="25">
        <f t="shared" si="8"/>
        <v>3.4826262912231384E-2</v>
      </c>
      <c r="M201" s="7"/>
      <c r="N201" s="7"/>
    </row>
    <row r="202" spans="1:14" x14ac:dyDescent="0.2">
      <c r="A202" s="44">
        <v>42522</v>
      </c>
      <c r="B202" s="23">
        <v>4.2072360929999997</v>
      </c>
      <c r="C202" s="1">
        <v>3.2</v>
      </c>
      <c r="D202" s="1">
        <v>3.9943661971830999</v>
      </c>
      <c r="E202" s="25">
        <f t="shared" si="9"/>
        <v>4.2432470169999998</v>
      </c>
      <c r="F202" s="25">
        <f t="shared" si="10"/>
        <v>4.1935543549999998</v>
      </c>
      <c r="G202" s="26">
        <f t="shared" si="6"/>
        <v>4.2195188348984729</v>
      </c>
      <c r="H202" s="24" cm="1">
        <f t="array" ref="H202:J202">LINEST(B152:B201,E152:F201)</f>
        <v>-0.30664469875284001</v>
      </c>
      <c r="I202" s="24">
        <v>1.242417055370076</v>
      </c>
      <c r="J202" s="24">
        <v>0.23356758272210953</v>
      </c>
      <c r="K202" s="25">
        <f t="shared" si="7"/>
        <v>-1.2282741898473226E-2</v>
      </c>
      <c r="L202" s="25">
        <f t="shared" si="8"/>
        <v>1.5086574854450966E-4</v>
      </c>
      <c r="M202" s="7"/>
      <c r="N202" s="7"/>
    </row>
    <row r="203" spans="1:14" x14ac:dyDescent="0.2">
      <c r="A203" s="44">
        <v>42552</v>
      </c>
      <c r="B203" s="23">
        <v>4.0195779539999998</v>
      </c>
      <c r="C203" s="1">
        <v>3.1</v>
      </c>
      <c r="D203" s="1">
        <v>3.9463576158940401</v>
      </c>
      <c r="E203" s="25">
        <f t="shared" si="9"/>
        <v>4.2072360929999997</v>
      </c>
      <c r="F203" s="25">
        <f t="shared" si="10"/>
        <v>4.2432470169999998</v>
      </c>
      <c r="G203" s="26">
        <f t="shared" si="6"/>
        <v>4.161538597115185</v>
      </c>
      <c r="H203" s="24" cm="1">
        <f t="array" ref="H203:J203">LINEST(B153:B202,E153:F202)</f>
        <v>-0.29987454799130497</v>
      </c>
      <c r="I203" s="24">
        <v>1.2362078302610497</v>
      </c>
      <c r="J203" s="24">
        <v>0.23296217643000738</v>
      </c>
      <c r="K203" s="25">
        <f t="shared" si="7"/>
        <v>-0.14196064311518519</v>
      </c>
      <c r="L203" s="25">
        <f t="shared" si="8"/>
        <v>2.0152824193676977E-2</v>
      </c>
      <c r="M203" s="7"/>
      <c r="N203" s="7"/>
    </row>
    <row r="204" spans="1:14" x14ac:dyDescent="0.2">
      <c r="A204" s="44">
        <v>42583</v>
      </c>
      <c r="B204" s="23">
        <v>3.3719572059999998</v>
      </c>
      <c r="C204" s="1">
        <v>3</v>
      </c>
      <c r="D204" s="1">
        <v>3.8875000000000002</v>
      </c>
      <c r="E204" s="25">
        <f t="shared" si="9"/>
        <v>4.0195779539999998</v>
      </c>
      <c r="F204" s="25">
        <f t="shared" si="10"/>
        <v>4.2072360929999997</v>
      </c>
      <c r="G204" s="26">
        <f t="shared" si="6"/>
        <v>3.9454083101841624</v>
      </c>
      <c r="H204" s="24" cm="1">
        <f t="array" ref="H204:J204">LINEST(B154:B203,E154:F203)</f>
        <v>-0.28926242662468926</v>
      </c>
      <c r="I204" s="24">
        <v>1.2248676471309303</v>
      </c>
      <c r="J204" s="24">
        <v>0.23895264085298007</v>
      </c>
      <c r="K204" s="25">
        <f t="shared" si="7"/>
        <v>-0.57345110418416256</v>
      </c>
      <c r="L204" s="25">
        <f t="shared" si="8"/>
        <v>0.32884616889003526</v>
      </c>
      <c r="M204" s="7"/>
      <c r="N204" s="7"/>
    </row>
    <row r="205" spans="1:14" x14ac:dyDescent="0.2">
      <c r="A205" s="44">
        <v>42614</v>
      </c>
      <c r="B205" s="23">
        <v>3.0960034140000001</v>
      </c>
      <c r="C205" s="1">
        <v>3</v>
      </c>
      <c r="D205" s="1">
        <v>3.7948905109489099</v>
      </c>
      <c r="E205" s="25">
        <f t="shared" si="9"/>
        <v>3.3719572059999998</v>
      </c>
      <c r="F205" s="25">
        <f t="shared" si="10"/>
        <v>4.0195779539999998</v>
      </c>
      <c r="G205" s="26">
        <f t="shared" si="6"/>
        <v>3.2059687164422561</v>
      </c>
      <c r="H205" s="24" cm="1">
        <f t="array" ref="H205:J205">LINEST(B155:B204,E155:F204)</f>
        <v>-0.28622139656781753</v>
      </c>
      <c r="I205" s="24">
        <v>1.2159840323093523</v>
      </c>
      <c r="J205" s="24">
        <v>0.25621181192289</v>
      </c>
      <c r="K205" s="25">
        <f t="shared" si="7"/>
        <v>-0.109965302442256</v>
      </c>
      <c r="L205" s="25">
        <f t="shared" si="8"/>
        <v>1.2092367741216832E-2</v>
      </c>
      <c r="M205" s="7"/>
      <c r="N205" s="7"/>
    </row>
    <row r="206" spans="1:14" x14ac:dyDescent="0.2">
      <c r="A206" s="44">
        <v>42644</v>
      </c>
      <c r="B206" s="23">
        <v>2.8474208810000001</v>
      </c>
      <c r="C206" s="1">
        <v>3</v>
      </c>
      <c r="D206" s="1">
        <v>3.5354014598540102</v>
      </c>
      <c r="E206" s="25">
        <f t="shared" si="9"/>
        <v>3.0960034140000001</v>
      </c>
      <c r="F206" s="25">
        <f t="shared" si="10"/>
        <v>3.3719572059999998</v>
      </c>
      <c r="G206" s="26">
        <f t="shared" si="6"/>
        <v>3.0540329490391764</v>
      </c>
      <c r="H206" s="24" cm="1">
        <f t="array" ref="H206:J206">LINEST(B156:B205,E156:F205)</f>
        <v>-0.29126971322110862</v>
      </c>
      <c r="I206" s="24">
        <v>1.2201221084988634</v>
      </c>
      <c r="J206" s="24">
        <v>0.25867974401528704</v>
      </c>
      <c r="K206" s="25">
        <f t="shared" si="7"/>
        <v>-0.20661206803917631</v>
      </c>
      <c r="L206" s="25">
        <f t="shared" si="8"/>
        <v>4.2688546659425224E-2</v>
      </c>
      <c r="M206" s="7"/>
      <c r="N206" s="7"/>
    </row>
    <row r="207" spans="1:14" x14ac:dyDescent="0.2">
      <c r="A207" s="44">
        <v>42675</v>
      </c>
      <c r="B207" s="23">
        <v>2.9292128069999999</v>
      </c>
      <c r="C207" s="1">
        <v>3</v>
      </c>
      <c r="D207" s="1">
        <v>3.47348484848485</v>
      </c>
      <c r="E207" s="25">
        <f t="shared" si="9"/>
        <v>2.8474208810000001</v>
      </c>
      <c r="F207" s="25">
        <f t="shared" si="10"/>
        <v>3.0960034140000001</v>
      </c>
      <c r="G207" s="26">
        <f t="shared" si="6"/>
        <v>2.8236859668898124</v>
      </c>
      <c r="H207" s="24" cm="1">
        <f t="array" ref="H207:J207">LINEST(B157:B206,E157:F206)</f>
        <v>-0.29897710824427548</v>
      </c>
      <c r="I207" s="24">
        <v>1.2290477854073307</v>
      </c>
      <c r="J207" s="24">
        <v>0.24970378680629568</v>
      </c>
      <c r="K207" s="25">
        <f t="shared" si="7"/>
        <v>0.10552684011018743</v>
      </c>
      <c r="L207" s="25">
        <f t="shared" si="8"/>
        <v>1.1135913983641062E-2</v>
      </c>
      <c r="M207" s="7"/>
      <c r="N207" s="7"/>
    </row>
    <row r="208" spans="1:14" x14ac:dyDescent="0.2">
      <c r="A208" s="44">
        <v>42705</v>
      </c>
      <c r="B208" s="23">
        <v>2.7087246299999999</v>
      </c>
      <c r="C208" s="1">
        <v>2.9</v>
      </c>
      <c r="D208" s="1">
        <v>3.2762589928057499</v>
      </c>
      <c r="E208" s="25">
        <f t="shared" si="9"/>
        <v>2.9292128069999999</v>
      </c>
      <c r="F208" s="25">
        <f t="shared" si="10"/>
        <v>2.8474208810000001</v>
      </c>
      <c r="G208" s="26">
        <f t="shared" si="6"/>
        <v>2.9953049409661441</v>
      </c>
      <c r="H208" s="24" cm="1">
        <f t="array" ref="H208:J208">LINEST(B158:B207,E158:F207)</f>
        <v>-0.2932838916351066</v>
      </c>
      <c r="I208" s="24">
        <v>1.2251770538404514</v>
      </c>
      <c r="J208" s="24">
        <v>0.2416033011169092</v>
      </c>
      <c r="K208" s="25">
        <f t="shared" si="7"/>
        <v>-0.28658031096614422</v>
      </c>
      <c r="L208" s="25">
        <f t="shared" si="8"/>
        <v>8.2128274633451917E-2</v>
      </c>
      <c r="M208" s="7"/>
      <c r="N208" s="7"/>
    </row>
    <row r="209" spans="1:14" x14ac:dyDescent="0.2">
      <c r="A209" s="44">
        <v>42736</v>
      </c>
      <c r="B209" s="23">
        <v>2.7796949990000002</v>
      </c>
      <c r="C209" s="1">
        <v>2.9</v>
      </c>
      <c r="D209" s="1">
        <v>3.1685314685314698</v>
      </c>
      <c r="E209" s="25">
        <f t="shared" si="9"/>
        <v>2.7087246299999999</v>
      </c>
      <c r="F209" s="25">
        <f t="shared" si="10"/>
        <v>2.9292128069999999</v>
      </c>
      <c r="G209" s="26">
        <f t="shared" si="6"/>
        <v>2.6952767995331044</v>
      </c>
      <c r="H209" s="24" cm="1">
        <f t="array" ref="H209:J209">LINEST(B159:B208,E159:F208)</f>
        <v>-0.29122336598095833</v>
      </c>
      <c r="I209" s="24">
        <v>1.2251551320794469</v>
      </c>
      <c r="J209" s="24">
        <v>0.22972413102767497</v>
      </c>
      <c r="K209" s="25">
        <f t="shared" si="7"/>
        <v>8.4418199466895771E-2</v>
      </c>
      <c r="L209" s="25">
        <f t="shared" si="8"/>
        <v>7.1264324012326012E-3</v>
      </c>
      <c r="M209" s="7"/>
      <c r="N209" s="7"/>
    </row>
    <row r="210" spans="1:14" x14ac:dyDescent="0.2">
      <c r="A210" s="44">
        <v>42767</v>
      </c>
      <c r="B210" s="23">
        <v>2.7401561050000001</v>
      </c>
      <c r="C210" s="1">
        <v>2.9</v>
      </c>
      <c r="D210" s="1">
        <v>3.1798561151079099</v>
      </c>
      <c r="E210" s="25">
        <f t="shared" si="9"/>
        <v>2.7796949990000002</v>
      </c>
      <c r="F210" s="25">
        <f t="shared" si="10"/>
        <v>2.7087246299999999</v>
      </c>
      <c r="G210" s="26">
        <f t="shared" si="6"/>
        <v>2.8726557152263625</v>
      </c>
      <c r="H210" s="24" cm="1">
        <f t="array" ref="H210:J210">LINEST(B160:B209,E160:F209)</f>
        <v>-0.30220392587555117</v>
      </c>
      <c r="I210" s="24">
        <v>1.2272688794429811</v>
      </c>
      <c r="J210" s="24">
        <v>0.27980976591217366</v>
      </c>
      <c r="K210" s="25">
        <f t="shared" si="7"/>
        <v>-0.13249961022636247</v>
      </c>
      <c r="L210" s="25">
        <f t="shared" si="8"/>
        <v>1.7556146710137978E-2</v>
      </c>
      <c r="M210" s="7"/>
      <c r="N210" s="7"/>
    </row>
    <row r="211" spans="1:14" x14ac:dyDescent="0.2">
      <c r="A211" s="44">
        <v>42795</v>
      </c>
      <c r="B211" s="23">
        <v>2.743114984</v>
      </c>
      <c r="C211" s="1">
        <v>3</v>
      </c>
      <c r="D211" s="1">
        <v>3.2104477611940299</v>
      </c>
      <c r="E211" s="25">
        <f t="shared" si="9"/>
        <v>2.7401561050000001</v>
      </c>
      <c r="F211" s="25">
        <f t="shared" si="10"/>
        <v>2.7796949990000002</v>
      </c>
      <c r="G211" s="26">
        <f t="shared" si="6"/>
        <v>2.8192153444970867</v>
      </c>
      <c r="H211" s="24" cm="1">
        <f t="array" ref="H211:J211">LINEST(B161:B210,E161:F210)</f>
        <v>-0.24382530192065674</v>
      </c>
      <c r="I211" s="24">
        <v>1.1620723876865846</v>
      </c>
      <c r="J211" s="24">
        <v>0.31271556930427979</v>
      </c>
      <c r="K211" s="25">
        <f t="shared" si="7"/>
        <v>-7.6100360497086683E-2</v>
      </c>
      <c r="L211" s="25">
        <f t="shared" si="8"/>
        <v>5.7912648677865509E-3</v>
      </c>
      <c r="M211" s="7"/>
      <c r="N211" s="7"/>
    </row>
    <row r="212" spans="1:14" x14ac:dyDescent="0.2">
      <c r="A212" s="44">
        <v>42826</v>
      </c>
      <c r="B212" s="23">
        <v>2.6544988639999998</v>
      </c>
      <c r="C212" s="1">
        <v>2.9</v>
      </c>
      <c r="D212" s="1">
        <v>3.1969465648855002</v>
      </c>
      <c r="E212" s="25">
        <f t="shared" si="9"/>
        <v>2.743114984</v>
      </c>
      <c r="F212" s="25">
        <f t="shared" si="10"/>
        <v>2.7401561050000001</v>
      </c>
      <c r="G212" s="26">
        <f t="shared" si="6"/>
        <v>2.8273156654236322</v>
      </c>
      <c r="H212" s="24" cm="1">
        <f t="array" ref="H212:J212">LINEST(B162:B211,E162:F211)</f>
        <v>-0.24980332046632628</v>
      </c>
      <c r="I212" s="24">
        <v>1.1706488289286052</v>
      </c>
      <c r="J212" s="24">
        <v>0.30059141541259848</v>
      </c>
      <c r="K212" s="25">
        <f t="shared" si="7"/>
        <v>-0.17281680142363243</v>
      </c>
      <c r="L212" s="25">
        <f t="shared" si="8"/>
        <v>2.9865646854295203E-2</v>
      </c>
      <c r="M212" s="7"/>
      <c r="N212" s="7"/>
    </row>
    <row r="213" spans="1:14" x14ac:dyDescent="0.2">
      <c r="A213" s="44">
        <v>42856</v>
      </c>
      <c r="B213" s="23">
        <v>2.5545554890000002</v>
      </c>
      <c r="C213" s="1">
        <v>2.9</v>
      </c>
      <c r="D213" s="1">
        <v>3.1375000000000002</v>
      </c>
      <c r="E213" s="25">
        <f t="shared" si="9"/>
        <v>2.6544988639999998</v>
      </c>
      <c r="F213" s="25">
        <f t="shared" si="10"/>
        <v>2.743114984</v>
      </c>
      <c r="G213" s="26">
        <f t="shared" ref="G213:G276" si="11">J213+(I213*E213)+(H213*F213)</f>
        <v>2.740041272289655</v>
      </c>
      <c r="H213" s="24" cm="1">
        <f t="array" ref="H213:J213">LINEST(B163:B212,E163:F212)</f>
        <v>-0.25833828384493746</v>
      </c>
      <c r="I213" s="24">
        <v>1.1663712132345818</v>
      </c>
      <c r="J213" s="24">
        <v>0.35256182911204936</v>
      </c>
      <c r="K213" s="25">
        <f t="shared" ref="K213:K276" si="12">B213-G213</f>
        <v>-0.18548578328965482</v>
      </c>
      <c r="L213" s="25">
        <f t="shared" ref="L213:L276" si="13">K213^2</f>
        <v>3.4404975802576787E-2</v>
      </c>
      <c r="M213" s="7"/>
      <c r="N213" s="7"/>
    </row>
    <row r="214" spans="1:14" x14ac:dyDescent="0.2">
      <c r="A214" s="44">
        <v>42887</v>
      </c>
      <c r="B214" s="23">
        <v>1.6973592850000001</v>
      </c>
      <c r="C214" s="1">
        <v>2.9</v>
      </c>
      <c r="D214" s="1">
        <v>3.0367999999999999</v>
      </c>
      <c r="E214" s="25">
        <f t="shared" si="9"/>
        <v>2.5545554890000002</v>
      </c>
      <c r="F214" s="25">
        <f t="shared" si="10"/>
        <v>2.6544988639999998</v>
      </c>
      <c r="G214" s="26">
        <f t="shared" si="11"/>
        <v>2.6233664995826023</v>
      </c>
      <c r="H214" s="24" cm="1">
        <f t="array" ref="H214:J214">LINEST(B164:B213,E164:F213)</f>
        <v>-0.27058291819313796</v>
      </c>
      <c r="I214" s="24">
        <v>1.1906765774341925</v>
      </c>
      <c r="J214" s="24">
        <v>0.29997916203584163</v>
      </c>
      <c r="K214" s="25">
        <f t="shared" si="12"/>
        <v>-0.92600721458260216</v>
      </c>
      <c r="L214" s="25">
        <f t="shared" si="13"/>
        <v>0.85748936145902943</v>
      </c>
      <c r="M214" s="7"/>
      <c r="N214" s="7"/>
    </row>
    <row r="215" spans="1:14" x14ac:dyDescent="0.2">
      <c r="A215" s="44">
        <v>42917</v>
      </c>
      <c r="B215" s="23">
        <v>1.6965283470000001</v>
      </c>
      <c r="C215" s="1">
        <v>2.7</v>
      </c>
      <c r="D215" s="1">
        <v>2.8427419354838701</v>
      </c>
      <c r="E215" s="25">
        <f t="shared" si="9"/>
        <v>1.6973592850000001</v>
      </c>
      <c r="F215" s="25">
        <f t="shared" si="10"/>
        <v>2.5545554890000002</v>
      </c>
      <c r="G215" s="26">
        <f t="shared" si="11"/>
        <v>1.5818524224276724</v>
      </c>
      <c r="H215" s="24" cm="1">
        <f t="array" ref="H215:J215">LINEST(B165:B214,E165:F214)</f>
        <v>-0.31781396435536402</v>
      </c>
      <c r="I215" s="24">
        <v>1.2369613057344591</v>
      </c>
      <c r="J215" s="24">
        <v>0.29415807207841049</v>
      </c>
      <c r="K215" s="25">
        <f t="shared" si="12"/>
        <v>0.11467592457232767</v>
      </c>
      <c r="L215" s="25">
        <f t="shared" si="13"/>
        <v>1.3150567676518185E-2</v>
      </c>
      <c r="M215" s="7"/>
      <c r="N215" s="7"/>
    </row>
    <row r="216" spans="1:14" x14ac:dyDescent="0.2">
      <c r="A216" s="44">
        <v>42948</v>
      </c>
      <c r="B216" s="23">
        <v>1.8523399949999999</v>
      </c>
      <c r="C216" s="1">
        <v>2.7</v>
      </c>
      <c r="D216" s="1">
        <v>2.8433070866141699</v>
      </c>
      <c r="E216" s="25">
        <f t="shared" si="9"/>
        <v>1.6965283470000001</v>
      </c>
      <c r="F216" s="25">
        <f t="shared" si="10"/>
        <v>1.6973592850000001</v>
      </c>
      <c r="G216" s="26">
        <f t="shared" si="11"/>
        <v>1.8796755594173493</v>
      </c>
      <c r="H216" s="24" cm="1">
        <f t="array" ref="H216:J216">LINEST(B166:B215,E166:F215)</f>
        <v>-0.30219301346675009</v>
      </c>
      <c r="I216" s="24">
        <v>1.2109602067693006</v>
      </c>
      <c r="J216" s="24">
        <v>0.33817735881416766</v>
      </c>
      <c r="K216" s="25">
        <f t="shared" si="12"/>
        <v>-2.7335564417349412E-2</v>
      </c>
      <c r="L216" s="25">
        <f t="shared" si="13"/>
        <v>7.4723308201505927E-4</v>
      </c>
      <c r="M216" s="7"/>
      <c r="N216" s="7"/>
    </row>
    <row r="217" spans="1:14" x14ac:dyDescent="0.2">
      <c r="A217" s="44">
        <v>42979</v>
      </c>
      <c r="B217" s="23">
        <v>1.4514575270000001</v>
      </c>
      <c r="C217" s="1">
        <v>2.7</v>
      </c>
      <c r="D217" s="1">
        <v>2.7918918918918898</v>
      </c>
      <c r="E217" s="25">
        <f t="shared" si="9"/>
        <v>1.8523399949999999</v>
      </c>
      <c r="F217" s="25">
        <f t="shared" si="10"/>
        <v>1.6965283470000001</v>
      </c>
      <c r="G217" s="26">
        <f t="shared" si="11"/>
        <v>2.0104082842936237</v>
      </c>
      <c r="H217" s="24" cm="1">
        <f t="array" ref="H217:J217">LINEST(B167:B216,E167:F216)</f>
        <v>-0.299386625238382</v>
      </c>
      <c r="I217" s="24">
        <v>1.233378332071996</v>
      </c>
      <c r="J217" s="24">
        <v>0.23369016725985503</v>
      </c>
      <c r="K217" s="25">
        <f t="shared" si="12"/>
        <v>-0.55895075729362365</v>
      </c>
      <c r="L217" s="25">
        <f t="shared" si="13"/>
        <v>0.31242594907911536</v>
      </c>
      <c r="M217" s="7"/>
      <c r="N217" s="7"/>
    </row>
    <row r="218" spans="1:14" x14ac:dyDescent="0.2">
      <c r="A218" s="44">
        <v>43009</v>
      </c>
      <c r="B218" s="23">
        <v>1.8778073820000001</v>
      </c>
      <c r="C218" s="1">
        <v>2.5</v>
      </c>
      <c r="D218" s="1">
        <v>2.74461538461538</v>
      </c>
      <c r="E218" s="25">
        <f t="shared" si="9"/>
        <v>1.4514575270000001</v>
      </c>
      <c r="F218" s="25">
        <f t="shared" si="10"/>
        <v>1.8523399949999999</v>
      </c>
      <c r="G218" s="26">
        <f t="shared" si="11"/>
        <v>1.4359371400660963</v>
      </c>
      <c r="H218" s="24" cm="1">
        <f t="array" ref="H218:J218">LINEST(B168:B217,E168:F217)</f>
        <v>-0.30941757704691514</v>
      </c>
      <c r="I218" s="24">
        <v>1.2539873866158404</v>
      </c>
      <c r="J218" s="24">
        <v>0.18897426211947033</v>
      </c>
      <c r="K218" s="25">
        <f t="shared" si="12"/>
        <v>0.44187024193390378</v>
      </c>
      <c r="L218" s="25">
        <f t="shared" si="13"/>
        <v>0.19524931070672666</v>
      </c>
      <c r="M218" s="7"/>
      <c r="N218" s="7"/>
    </row>
    <row r="219" spans="1:14" x14ac:dyDescent="0.2">
      <c r="A219" s="44">
        <v>43040</v>
      </c>
      <c r="B219" s="23">
        <v>1.910216932</v>
      </c>
      <c r="C219" s="1">
        <v>2.5</v>
      </c>
      <c r="D219" s="1">
        <v>2.7738461538461499</v>
      </c>
      <c r="E219" s="25">
        <f t="shared" si="9"/>
        <v>1.8778073820000001</v>
      </c>
      <c r="F219" s="25">
        <f t="shared" si="10"/>
        <v>1.4514575270000001</v>
      </c>
      <c r="G219" s="26">
        <f t="shared" si="11"/>
        <v>2.1256906133634144</v>
      </c>
      <c r="H219" s="24" cm="1">
        <f t="array" ref="H219:J219">LINEST(B169:B218,E169:F218)</f>
        <v>-0.29540316130020383</v>
      </c>
      <c r="I219" s="24">
        <v>1.2240805183706118</v>
      </c>
      <c r="J219" s="24">
        <v>0.25586832177346874</v>
      </c>
      <c r="K219" s="25">
        <f t="shared" si="12"/>
        <v>-0.21547368136341438</v>
      </c>
      <c r="L219" s="25">
        <f t="shared" si="13"/>
        <v>4.6428907360302231E-2</v>
      </c>
      <c r="M219" s="7"/>
      <c r="N219" s="7"/>
    </row>
    <row r="220" spans="1:14" x14ac:dyDescent="0.2">
      <c r="A220" s="44">
        <v>43070</v>
      </c>
      <c r="B220" s="23">
        <v>2.2695936360000002</v>
      </c>
      <c r="C220" s="1">
        <v>2.7</v>
      </c>
      <c r="D220" s="1">
        <v>2.76160714285714</v>
      </c>
      <c r="E220" s="25">
        <f t="shared" si="9"/>
        <v>1.910216932</v>
      </c>
      <c r="F220" s="25">
        <f t="shared" si="10"/>
        <v>1.8778073820000001</v>
      </c>
      <c r="G220" s="26">
        <f t="shared" si="11"/>
        <v>2.0461613520482622</v>
      </c>
      <c r="H220" s="24" cm="1">
        <f t="array" ref="H220:J220">LINEST(B170:B219,E170:F219)</f>
        <v>-0.28713190639736574</v>
      </c>
      <c r="I220" s="24">
        <v>1.2137963620522414</v>
      </c>
      <c r="J220" s="24">
        <v>0.26672540269677447</v>
      </c>
      <c r="K220" s="25">
        <f t="shared" si="12"/>
        <v>0.22343228395173798</v>
      </c>
      <c r="L220" s="25">
        <f t="shared" si="13"/>
        <v>4.9921985511890067E-2</v>
      </c>
      <c r="M220" s="7"/>
      <c r="N220" s="7"/>
    </row>
    <row r="221" spans="1:14" x14ac:dyDescent="0.2">
      <c r="A221" s="44">
        <v>43101</v>
      </c>
      <c r="B221" s="23">
        <v>2.1886507389999998</v>
      </c>
      <c r="C221" s="1">
        <v>2.6</v>
      </c>
      <c r="D221" s="1">
        <v>2.7229357799999998</v>
      </c>
      <c r="E221" s="25">
        <f t="shared" si="9"/>
        <v>2.2695936360000002</v>
      </c>
      <c r="F221" s="25">
        <f t="shared" si="10"/>
        <v>1.910216932</v>
      </c>
      <c r="G221" s="26">
        <f t="shared" si="11"/>
        <v>2.501589767915676</v>
      </c>
      <c r="H221" s="24" cm="1">
        <f t="array" ref="H221:J221">LINEST(B171:B220,E171:F220)</f>
        <v>-0.28309223139450701</v>
      </c>
      <c r="I221" s="24">
        <v>1.1954420390468024</v>
      </c>
      <c r="J221" s="24">
        <v>0.32918969761563921</v>
      </c>
      <c r="K221" s="25">
        <f t="shared" si="12"/>
        <v>-0.31293902891567615</v>
      </c>
      <c r="L221" s="25">
        <f t="shared" si="13"/>
        <v>9.793083581868639E-2</v>
      </c>
      <c r="M221" s="7"/>
      <c r="N221" s="7"/>
    </row>
    <row r="222" spans="1:14" x14ac:dyDescent="0.2">
      <c r="A222" s="44">
        <v>43132</v>
      </c>
      <c r="B222" s="23">
        <v>2.0503282409999999</v>
      </c>
      <c r="C222" s="1">
        <v>2.6</v>
      </c>
      <c r="D222" s="1">
        <v>2.8258620689999998</v>
      </c>
      <c r="E222" s="25">
        <f t="shared" si="9"/>
        <v>2.1886507389999998</v>
      </c>
      <c r="F222" s="25">
        <f t="shared" si="10"/>
        <v>2.2695936360000002</v>
      </c>
      <c r="G222" s="26">
        <f t="shared" si="11"/>
        <v>2.2454224190481837</v>
      </c>
      <c r="H222" s="24" cm="1">
        <f t="array" ref="H222:J222">LINEST(B172:B221,E172:F221)</f>
        <v>-0.28153075026891022</v>
      </c>
      <c r="I222" s="24">
        <v>1.2210351603946823</v>
      </c>
      <c r="J222" s="24">
        <v>0.21196331205400298</v>
      </c>
      <c r="K222" s="25">
        <f t="shared" si="12"/>
        <v>-0.19509417804818385</v>
      </c>
      <c r="L222" s="25">
        <f t="shared" si="13"/>
        <v>3.8061738308296462E-2</v>
      </c>
      <c r="M222" s="7"/>
      <c r="N222" s="7"/>
    </row>
    <row r="223" spans="1:14" x14ac:dyDescent="0.2">
      <c r="A223" s="44">
        <v>43160</v>
      </c>
      <c r="B223" s="23">
        <v>1.866031768</v>
      </c>
      <c r="C223" s="1">
        <v>2.6</v>
      </c>
      <c r="D223" s="1">
        <v>2.7889830510000002</v>
      </c>
      <c r="E223" s="25">
        <f t="shared" si="9"/>
        <v>2.0503282409999999</v>
      </c>
      <c r="F223" s="25">
        <f t="shared" si="10"/>
        <v>2.1886507389999998</v>
      </c>
      <c r="G223" s="26">
        <f t="shared" si="11"/>
        <v>2.0820185186033684</v>
      </c>
      <c r="H223" s="24" cm="1">
        <f t="array" ref="H223:J223">LINEST(B173:B222,E173:F222)</f>
        <v>-0.26511015472676325</v>
      </c>
      <c r="I223" s="24">
        <v>1.2128668777919953</v>
      </c>
      <c r="J223" s="24">
        <v>0.1754768425520794</v>
      </c>
      <c r="K223" s="25">
        <f t="shared" si="12"/>
        <v>-0.21598675060336836</v>
      </c>
      <c r="L223" s="25">
        <f t="shared" si="13"/>
        <v>4.6650276436201642E-2</v>
      </c>
      <c r="M223" s="7"/>
      <c r="N223" s="7"/>
    </row>
    <row r="224" spans="1:14" x14ac:dyDescent="0.2">
      <c r="A224" s="44">
        <v>43191</v>
      </c>
      <c r="B224" s="23">
        <v>1.8946598990000001</v>
      </c>
      <c r="C224" s="1">
        <v>2.7</v>
      </c>
      <c r="D224" s="1">
        <v>2.7622641510000001</v>
      </c>
      <c r="E224" s="25">
        <f t="shared" si="9"/>
        <v>1.866031768</v>
      </c>
      <c r="F224" s="25">
        <f t="shared" si="10"/>
        <v>2.0503282409999999</v>
      </c>
      <c r="G224" s="26">
        <f t="shared" si="11"/>
        <v>1.8860292728407524</v>
      </c>
      <c r="H224" s="24" cm="1">
        <f t="array" ref="H224:J224">LINEST(B174:B223,E174:F223)</f>
        <v>-0.2757636805470679</v>
      </c>
      <c r="I224" s="24">
        <v>1.2267162042669271</v>
      </c>
      <c r="J224" s="24">
        <v>0.16234392742604498</v>
      </c>
      <c r="K224" s="25">
        <f t="shared" si="12"/>
        <v>8.6306261592477007E-3</v>
      </c>
      <c r="L224" s="25">
        <f t="shared" si="13"/>
        <v>7.4487707900690724E-5</v>
      </c>
      <c r="M224" s="7"/>
      <c r="N224" s="7"/>
    </row>
    <row r="225" spans="1:14" x14ac:dyDescent="0.2">
      <c r="A225" s="44">
        <v>43221</v>
      </c>
      <c r="B225" s="23">
        <v>2.028635762</v>
      </c>
      <c r="C225" s="1">
        <v>2.8</v>
      </c>
      <c r="D225" s="1">
        <v>2.7648648649999998</v>
      </c>
      <c r="E225" s="25">
        <f t="shared" si="9"/>
        <v>1.8946598990000001</v>
      </c>
      <c r="F225" s="25">
        <f t="shared" si="10"/>
        <v>1.866031768</v>
      </c>
      <c r="G225" s="26">
        <f t="shared" si="11"/>
        <v>1.9574935485813465</v>
      </c>
      <c r="H225" s="24" cm="1">
        <f t="array" ref="H225:J225">LINEST(B175:B224,E175:F224)</f>
        <v>-0.27134829787964632</v>
      </c>
      <c r="I225" s="24">
        <v>1.2266096994059192</v>
      </c>
      <c r="J225" s="24">
        <v>0.13982988342865432</v>
      </c>
      <c r="K225" s="25">
        <f t="shared" si="12"/>
        <v>7.1142213418653455E-2</v>
      </c>
      <c r="L225" s="25">
        <f t="shared" si="13"/>
        <v>5.0612145301052354E-3</v>
      </c>
      <c r="M225" s="7"/>
      <c r="N225" s="7"/>
    </row>
    <row r="226" spans="1:14" x14ac:dyDescent="0.2">
      <c r="A226" s="44">
        <v>43252</v>
      </c>
      <c r="B226" s="23">
        <v>2.5221711529999999</v>
      </c>
      <c r="C226" s="1">
        <v>2.9</v>
      </c>
      <c r="D226" s="1">
        <v>2.8396551720000001</v>
      </c>
      <c r="E226" s="25">
        <f t="shared" si="9"/>
        <v>2.028635762</v>
      </c>
      <c r="F226" s="25">
        <f t="shared" si="10"/>
        <v>1.8946598990000001</v>
      </c>
      <c r="G226" s="26">
        <f t="shared" si="11"/>
        <v>2.109777130996596</v>
      </c>
      <c r="H226" s="24" cm="1">
        <f t="array" ref="H226:J226">LINEST(B176:B225,E176:F225)</f>
        <v>-0.25936721216621211</v>
      </c>
      <c r="I226" s="24">
        <v>1.2146327379889061</v>
      </c>
      <c r="J226" s="24">
        <v>0.13714237702307241</v>
      </c>
      <c r="K226" s="25">
        <f t="shared" si="12"/>
        <v>0.41239402200340392</v>
      </c>
      <c r="L226" s="25">
        <f t="shared" si="13"/>
        <v>0.170068829384144</v>
      </c>
      <c r="M226" s="7"/>
      <c r="N226" s="7"/>
    </row>
    <row r="227" spans="1:14" x14ac:dyDescent="0.2">
      <c r="A227" s="44">
        <v>43282</v>
      </c>
      <c r="B227" s="23">
        <v>2.607997583</v>
      </c>
      <c r="C227" s="1">
        <v>3</v>
      </c>
      <c r="D227" s="1">
        <v>2.8895370370000002</v>
      </c>
      <c r="E227" s="25">
        <f t="shared" si="9"/>
        <v>2.5221711529999999</v>
      </c>
      <c r="F227" s="25">
        <f t="shared" si="10"/>
        <v>2.028635762</v>
      </c>
      <c r="G227" s="26">
        <f t="shared" si="11"/>
        <v>2.6617629602110711</v>
      </c>
      <c r="H227" s="24" cm="1">
        <f t="array" ref="H227:J227">LINEST(B177:B226,E177:F226)</f>
        <v>-0.23474231310379953</v>
      </c>
      <c r="I227" s="24">
        <v>1.1828177330052105</v>
      </c>
      <c r="J227" s="24">
        <v>0.15470084598544176</v>
      </c>
      <c r="K227" s="25">
        <f t="shared" si="12"/>
        <v>-5.3765377211071108E-2</v>
      </c>
      <c r="L227" s="25">
        <f t="shared" si="13"/>
        <v>2.8907157866487647E-3</v>
      </c>
      <c r="M227" s="7"/>
      <c r="N227" s="7"/>
    </row>
    <row r="228" spans="1:14" x14ac:dyDescent="0.2">
      <c r="A228" s="44">
        <v>43313</v>
      </c>
      <c r="B228" s="23">
        <v>2.4875616250000001</v>
      </c>
      <c r="C228" s="1">
        <v>3</v>
      </c>
      <c r="D228" s="1">
        <v>2.9629310339999999</v>
      </c>
      <c r="E228" s="25">
        <f t="shared" si="9"/>
        <v>2.607997583</v>
      </c>
      <c r="F228" s="25">
        <f t="shared" si="10"/>
        <v>2.5221711529999999</v>
      </c>
      <c r="G228" s="26">
        <f t="shared" si="11"/>
        <v>2.6351505318797561</v>
      </c>
      <c r="H228" s="24" cm="1">
        <f t="array" ref="H228:J228">LINEST(B178:B227,E178:F227)</f>
        <v>-0.18552950180763372</v>
      </c>
      <c r="I228" s="24">
        <v>1.1330750128614693</v>
      </c>
      <c r="J228" s="24">
        <v>0.14803079446902578</v>
      </c>
      <c r="K228" s="25">
        <f t="shared" si="12"/>
        <v>-0.14758890687975601</v>
      </c>
      <c r="L228" s="25">
        <f t="shared" si="13"/>
        <v>2.1782485433961291E-2</v>
      </c>
      <c r="M228" s="7"/>
      <c r="N228" s="7"/>
    </row>
    <row r="229" spans="1:14" x14ac:dyDescent="0.2">
      <c r="A229" s="44">
        <v>43344</v>
      </c>
      <c r="B229" s="23">
        <v>2.849709973</v>
      </c>
      <c r="C229" s="1">
        <v>3</v>
      </c>
      <c r="D229" s="1">
        <v>3.0188679249999999</v>
      </c>
      <c r="E229" s="25">
        <f t="shared" si="9"/>
        <v>2.4875616250000001</v>
      </c>
      <c r="F229" s="25">
        <f t="shared" si="10"/>
        <v>2.607997583</v>
      </c>
      <c r="G229" s="26">
        <f t="shared" si="11"/>
        <v>2.477483538502355</v>
      </c>
      <c r="H229" s="24" cm="1">
        <f t="array" ref="H229:J229">LINEST(B179:B228,E179:F228)</f>
        <v>-0.2120632608531991</v>
      </c>
      <c r="I229" s="24">
        <v>1.1680567267159156</v>
      </c>
      <c r="J229" s="24">
        <v>0.12493092104897252</v>
      </c>
      <c r="K229" s="25">
        <f t="shared" si="12"/>
        <v>0.37222643449764492</v>
      </c>
      <c r="L229" s="25">
        <f t="shared" si="13"/>
        <v>0.13855251853882955</v>
      </c>
      <c r="M229" s="7"/>
      <c r="N229" s="7"/>
    </row>
    <row r="230" spans="1:14" x14ac:dyDescent="0.2">
      <c r="A230" s="44">
        <v>43374</v>
      </c>
      <c r="B230" s="23">
        <v>2.6547214280000002</v>
      </c>
      <c r="C230" s="1">
        <v>3</v>
      </c>
      <c r="D230" s="1">
        <v>3.060869565</v>
      </c>
      <c r="E230" s="25">
        <f t="shared" si="9"/>
        <v>2.849709973</v>
      </c>
      <c r="F230" s="25">
        <f t="shared" si="10"/>
        <v>2.4875616250000001</v>
      </c>
      <c r="G230" s="26">
        <f t="shared" si="11"/>
        <v>2.9426594450775792</v>
      </c>
      <c r="H230" s="24" cm="1">
        <f t="array" ref="H230:J230">LINEST(B180:B229,E180:F229)</f>
        <v>-0.23693141190364495</v>
      </c>
      <c r="I230" s="24">
        <v>1.1823900173607476</v>
      </c>
      <c r="J230" s="24">
        <v>0.1625723086375892</v>
      </c>
      <c r="K230" s="25">
        <f t="shared" si="12"/>
        <v>-0.28793801707757893</v>
      </c>
      <c r="L230" s="25">
        <f t="shared" si="13"/>
        <v>8.2908301678568136E-2</v>
      </c>
      <c r="M230" s="7"/>
      <c r="N230" s="7"/>
    </row>
    <row r="231" spans="1:14" x14ac:dyDescent="0.2">
      <c r="A231" s="44">
        <v>43405</v>
      </c>
      <c r="B231" s="23">
        <v>2.4814633019999999</v>
      </c>
      <c r="C231" s="1">
        <v>3</v>
      </c>
      <c r="D231" s="1">
        <v>3.0336448599999999</v>
      </c>
      <c r="E231" s="25">
        <f t="shared" si="9"/>
        <v>2.6547214280000002</v>
      </c>
      <c r="F231" s="25">
        <f t="shared" si="10"/>
        <v>2.849709973</v>
      </c>
      <c r="G231" s="26">
        <f t="shared" si="11"/>
        <v>2.6217066399044247</v>
      </c>
      <c r="H231" s="24" cm="1">
        <f t="array" ref="H231:J231">LINEST(B181:B230,E181:F230)</f>
        <v>-0.21136930113282976</v>
      </c>
      <c r="I231" s="24">
        <v>1.1586701245183466</v>
      </c>
      <c r="J231" s="24">
        <v>0.14810143778640683</v>
      </c>
      <c r="K231" s="25">
        <f t="shared" si="12"/>
        <v>-0.14024333790442478</v>
      </c>
      <c r="L231" s="25">
        <f t="shared" si="13"/>
        <v>1.9668193826574667E-2</v>
      </c>
      <c r="M231" s="7"/>
      <c r="N231" s="7"/>
    </row>
    <row r="232" spans="1:14" x14ac:dyDescent="0.2">
      <c r="A232" s="44">
        <v>43435</v>
      </c>
      <c r="B232" s="23">
        <v>2.1409865799999999</v>
      </c>
      <c r="C232" s="1">
        <v>2.9</v>
      </c>
      <c r="D232" s="1">
        <v>2.9756521739999999</v>
      </c>
      <c r="E232" s="25">
        <f t="shared" si="9"/>
        <v>2.4814633019999999</v>
      </c>
      <c r="F232" s="25">
        <f t="shared" si="10"/>
        <v>2.6547214280000002</v>
      </c>
      <c r="G232" s="26">
        <f t="shared" si="11"/>
        <v>2.4560934234066001</v>
      </c>
      <c r="H232" s="24" cm="1">
        <f t="array" ref="H232:J232">LINEST(B182:B231,E182:F231)</f>
        <v>-0.21156801880773513</v>
      </c>
      <c r="I232" s="24">
        <v>1.1524048992452585</v>
      </c>
      <c r="J232" s="24">
        <v>0.15809710989288528</v>
      </c>
      <c r="K232" s="25">
        <f t="shared" si="12"/>
        <v>-0.31510684340660022</v>
      </c>
      <c r="L232" s="25">
        <f t="shared" si="13"/>
        <v>9.9292322761671672E-2</v>
      </c>
      <c r="M232" s="7"/>
      <c r="N232" s="7"/>
    </row>
    <row r="233" spans="1:14" x14ac:dyDescent="0.2">
      <c r="A233" s="44">
        <v>43466</v>
      </c>
      <c r="B233" s="23">
        <v>1.785591462</v>
      </c>
      <c r="C233" s="1">
        <v>2.8</v>
      </c>
      <c r="D233" s="1">
        <v>2.9615044250000002</v>
      </c>
      <c r="E233" s="25">
        <f t="shared" si="9"/>
        <v>2.1409865799999999</v>
      </c>
      <c r="F233" s="25">
        <f t="shared" si="10"/>
        <v>2.4814633019999999</v>
      </c>
      <c r="G233" s="26">
        <f t="shared" si="11"/>
        <v>2.1107015126874158</v>
      </c>
      <c r="H233" s="24" cm="1">
        <f t="array" ref="H233:J233">LINEST(B183:B232,E183:F232)</f>
        <v>-0.15795480779627077</v>
      </c>
      <c r="I233" s="24">
        <v>1.0836885781810739</v>
      </c>
      <c r="J233" s="24">
        <v>0.18249786882336538</v>
      </c>
      <c r="K233" s="25">
        <f t="shared" si="12"/>
        <v>-0.32511005068741583</v>
      </c>
      <c r="L233" s="25">
        <f t="shared" si="13"/>
        <v>0.10569654505797409</v>
      </c>
      <c r="M233" s="7"/>
      <c r="N233" s="7"/>
    </row>
    <row r="234" spans="1:14" x14ac:dyDescent="0.2">
      <c r="A234" s="44">
        <v>43497</v>
      </c>
      <c r="B234" s="23">
        <v>1.727118956</v>
      </c>
      <c r="C234" s="1">
        <v>2.8</v>
      </c>
      <c r="D234" s="1">
        <v>2.8785123970000002</v>
      </c>
      <c r="E234" s="25">
        <f t="shared" si="9"/>
        <v>1.785591462</v>
      </c>
      <c r="F234" s="25">
        <f t="shared" si="10"/>
        <v>2.1409865799999999</v>
      </c>
      <c r="G234" s="26">
        <f t="shared" si="11"/>
        <v>1.7482513934965138</v>
      </c>
      <c r="H234" s="24" cm="1">
        <f t="array" ref="H234:J234">LINEST(B184:B233,E184:F233)</f>
        <v>-0.19855085260590538</v>
      </c>
      <c r="I234" s="24">
        <v>1.1348452075978939</v>
      </c>
      <c r="J234" s="24">
        <v>0.14697619099489856</v>
      </c>
      <c r="K234" s="25">
        <f t="shared" si="12"/>
        <v>-2.1132437496513834E-2</v>
      </c>
      <c r="L234" s="25">
        <f t="shared" si="13"/>
        <v>4.4657991454406386E-4</v>
      </c>
      <c r="M234" s="7"/>
      <c r="N234" s="7"/>
    </row>
    <row r="235" spans="1:14" x14ac:dyDescent="0.2">
      <c r="A235" s="44">
        <v>43525</v>
      </c>
      <c r="B235" s="23">
        <v>2.0045923380000001</v>
      </c>
      <c r="C235" s="1">
        <v>2.8</v>
      </c>
      <c r="D235" s="1">
        <v>2.8305084749999998</v>
      </c>
      <c r="E235" s="25">
        <f t="shared" si="9"/>
        <v>1.727118956</v>
      </c>
      <c r="F235" s="25">
        <f t="shared" si="10"/>
        <v>1.785591462</v>
      </c>
      <c r="G235" s="26">
        <f t="shared" si="11"/>
        <v>1.7295970858420717</v>
      </c>
      <c r="H235" s="24" cm="1">
        <f t="array" ref="H235:J235">LINEST(B185:B234,E185:F234)</f>
        <v>-0.17678415147874457</v>
      </c>
      <c r="I235" s="24">
        <v>1.1362537034019131</v>
      </c>
      <c r="J235" s="24">
        <v>8.2816047368787005E-2</v>
      </c>
      <c r="K235" s="25">
        <f t="shared" si="12"/>
        <v>0.27499525215792842</v>
      </c>
      <c r="L235" s="25">
        <f t="shared" si="13"/>
        <v>7.5622388709402633E-2</v>
      </c>
      <c r="M235" s="7"/>
      <c r="N235" s="7"/>
    </row>
    <row r="236" spans="1:14" x14ac:dyDescent="0.2">
      <c r="A236" s="44">
        <v>43556</v>
      </c>
      <c r="B236" s="23">
        <v>1.9974903420000001</v>
      </c>
      <c r="C236" s="1">
        <v>2.8</v>
      </c>
      <c r="D236" s="1">
        <v>2.8224999999999998</v>
      </c>
      <c r="E236" s="25">
        <f t="shared" si="9"/>
        <v>2.0045923380000001</v>
      </c>
      <c r="F236" s="25">
        <f t="shared" si="10"/>
        <v>1.727118956</v>
      </c>
      <c r="G236" s="26">
        <f t="shared" si="11"/>
        <v>2.081141656735944</v>
      </c>
      <c r="H236" s="24" cm="1">
        <f t="array" ref="H236:J236">LINEST(B186:B235,E186:F235)</f>
        <v>-0.20821237670206419</v>
      </c>
      <c r="I236" s="24">
        <v>1.1561398416260753</v>
      </c>
      <c r="J236" s="24">
        <v>0.12316013123172775</v>
      </c>
      <c r="K236" s="25">
        <f t="shared" si="12"/>
        <v>-8.3651314735943894E-2</v>
      </c>
      <c r="L236" s="25">
        <f t="shared" si="13"/>
        <v>6.9975424570519439E-3</v>
      </c>
      <c r="M236" s="7"/>
      <c r="N236" s="7"/>
    </row>
    <row r="237" spans="1:14" x14ac:dyDescent="0.2">
      <c r="A237" s="44">
        <v>43586</v>
      </c>
      <c r="B237" s="23">
        <v>2.3494044989999998</v>
      </c>
      <c r="C237" s="1">
        <v>2.9</v>
      </c>
      <c r="D237" s="1">
        <v>2.8401574799999998</v>
      </c>
      <c r="E237" s="25">
        <f t="shared" si="9"/>
        <v>1.9974903420000001</v>
      </c>
      <c r="F237" s="25">
        <f t="shared" si="10"/>
        <v>2.0045923380000001</v>
      </c>
      <c r="G237" s="26">
        <f t="shared" si="11"/>
        <v>2.0112371216162392</v>
      </c>
      <c r="H237" s="24" cm="1">
        <f t="array" ref="H237:J237">LINEST(B187:B236,E187:F236)</f>
        <v>-0.20082526528779643</v>
      </c>
      <c r="I237" s="24">
        <v>1.1506677578917555</v>
      </c>
      <c r="J237" s="24">
        <v>0.11536217644939717</v>
      </c>
      <c r="K237" s="25">
        <f t="shared" si="12"/>
        <v>0.33816737738376057</v>
      </c>
      <c r="L237" s="25">
        <f t="shared" si="13"/>
        <v>0.11435717512661074</v>
      </c>
      <c r="M237" s="7"/>
      <c r="N237" s="7"/>
    </row>
    <row r="238" spans="1:14" x14ac:dyDescent="0.2">
      <c r="A238" s="44">
        <v>43617</v>
      </c>
      <c r="B238" s="23">
        <v>2.3052039450000001</v>
      </c>
      <c r="C238" s="1">
        <v>2.9</v>
      </c>
      <c r="D238" s="1">
        <v>2.8920634920000001</v>
      </c>
      <c r="E238" s="25">
        <f t="shared" si="9"/>
        <v>2.3494044989999998</v>
      </c>
      <c r="F238" s="25">
        <f t="shared" si="10"/>
        <v>1.9974903420000001</v>
      </c>
      <c r="G238" s="26">
        <f t="shared" si="11"/>
        <v>2.4300564782100755</v>
      </c>
      <c r="H238" s="24" cm="1">
        <f t="array" ref="H238:J238">LINEST(B188:B237,E188:F237)</f>
        <v>-0.20402259621750654</v>
      </c>
      <c r="I238" s="24">
        <v>1.1496558607851137</v>
      </c>
      <c r="J238" s="24">
        <v>0.13658299207404734</v>
      </c>
      <c r="K238" s="25">
        <f t="shared" si="12"/>
        <v>-0.12485253321007539</v>
      </c>
      <c r="L238" s="25">
        <f t="shared" si="13"/>
        <v>1.5588155048972978E-2</v>
      </c>
      <c r="M238" s="7"/>
      <c r="N238" s="7"/>
    </row>
    <row r="239" spans="1:14" x14ac:dyDescent="0.2">
      <c r="A239" s="44">
        <v>43647</v>
      </c>
      <c r="B239" s="23">
        <v>2.2017733210000001</v>
      </c>
      <c r="C239" s="1">
        <v>2.8</v>
      </c>
      <c r="D239" s="1">
        <v>2.8414634150000002</v>
      </c>
      <c r="E239" s="25">
        <f t="shared" si="9"/>
        <v>2.3052039450000001</v>
      </c>
      <c r="F239" s="25">
        <f t="shared" si="10"/>
        <v>2.3494044989999998</v>
      </c>
      <c r="G239" s="26">
        <f t="shared" si="11"/>
        <v>2.3034551601434674</v>
      </c>
      <c r="H239" s="24" cm="1">
        <f t="array" ref="H239:J239">LINEST(B189:B238,E189:F238)</f>
        <v>-0.19646059186994277</v>
      </c>
      <c r="I239" s="24">
        <v>1.1417985247211535</v>
      </c>
      <c r="J239" s="24">
        <v>0.13294209497653064</v>
      </c>
      <c r="K239" s="25">
        <f t="shared" si="12"/>
        <v>-0.10168183914346729</v>
      </c>
      <c r="L239" s="25">
        <f t="shared" si="13"/>
        <v>1.0339196411597957E-2</v>
      </c>
      <c r="M239" s="7"/>
      <c r="N239" s="7"/>
    </row>
    <row r="240" spans="1:14" x14ac:dyDescent="0.2">
      <c r="A240" s="44">
        <v>43678</v>
      </c>
      <c r="B240" s="23">
        <v>2.3066356579999998</v>
      </c>
      <c r="C240" s="1">
        <v>2.8</v>
      </c>
      <c r="D240" s="1">
        <v>2.8008000000000002</v>
      </c>
      <c r="E240" s="25">
        <f t="shared" si="9"/>
        <v>2.2017733210000001</v>
      </c>
      <c r="F240" s="25">
        <f t="shared" si="10"/>
        <v>2.3052039450000001</v>
      </c>
      <c r="G240" s="26">
        <f t="shared" si="11"/>
        <v>2.191394009042086</v>
      </c>
      <c r="H240" s="24" cm="1">
        <f t="array" ref="H240:J240">LINEST(B190:B239,E190:F239)</f>
        <v>-0.19543431825294125</v>
      </c>
      <c r="I240" s="24">
        <v>1.1434686365268343</v>
      </c>
      <c r="J240" s="24">
        <v>0.12425123316212172</v>
      </c>
      <c r="K240" s="25">
        <f t="shared" si="12"/>
        <v>0.11524164895791378</v>
      </c>
      <c r="L240" s="25">
        <f t="shared" si="13"/>
        <v>1.328063765453903E-2</v>
      </c>
      <c r="M240" s="7"/>
      <c r="N240" s="7"/>
    </row>
    <row r="241" spans="1:14" x14ac:dyDescent="0.2">
      <c r="A241" s="44">
        <v>43709</v>
      </c>
      <c r="B241" s="23">
        <v>2.113110593</v>
      </c>
      <c r="C241" s="1">
        <v>2.8</v>
      </c>
      <c r="D241" s="1">
        <v>2.8180180180000001</v>
      </c>
      <c r="E241" s="25">
        <f t="shared" si="9"/>
        <v>2.3066356579999998</v>
      </c>
      <c r="F241" s="25">
        <f t="shared" si="10"/>
        <v>2.2017733210000001</v>
      </c>
      <c r="G241" s="26">
        <f t="shared" si="11"/>
        <v>2.3337044495016133</v>
      </c>
      <c r="H241" s="24" cm="1">
        <f t="array" ref="H241:J241">LINEST(B191:B240,E191:F240)</f>
        <v>-0.21691732658911519</v>
      </c>
      <c r="I241" s="24">
        <v>1.1511589430603415</v>
      </c>
      <c r="J241" s="24">
        <v>0.15600296595959595</v>
      </c>
      <c r="K241" s="25">
        <f t="shared" si="12"/>
        <v>-0.22059385650161323</v>
      </c>
      <c r="L241" s="25">
        <f t="shared" si="13"/>
        <v>4.8661649526254326E-2</v>
      </c>
      <c r="M241" s="7"/>
      <c r="N241" s="7"/>
    </row>
    <row r="242" spans="1:14" x14ac:dyDescent="0.2">
      <c r="A242" s="44">
        <v>43739</v>
      </c>
      <c r="B242" s="23">
        <v>2.5353523390000001</v>
      </c>
      <c r="C242" s="1">
        <v>2.9</v>
      </c>
      <c r="D242" s="1">
        <v>2.8410256409999999</v>
      </c>
      <c r="E242" s="25">
        <f t="shared" si="9"/>
        <v>2.113110593</v>
      </c>
      <c r="F242" s="25">
        <f t="shared" si="10"/>
        <v>2.3066356579999998</v>
      </c>
      <c r="G242" s="26">
        <f t="shared" si="11"/>
        <v>2.0875440478734828</v>
      </c>
      <c r="H242" s="24" cm="1">
        <f t="array" ref="H242:J242">LINEST(B192:B241,E192:F241)</f>
        <v>-0.18138863353560863</v>
      </c>
      <c r="I242" s="24">
        <v>1.1114415564660409</v>
      </c>
      <c r="J242" s="24">
        <v>0.15734261147381301</v>
      </c>
      <c r="K242" s="25">
        <f t="shared" si="12"/>
        <v>0.44780829112651732</v>
      </c>
      <c r="L242" s="25">
        <f t="shared" si="13"/>
        <v>0.20053226560165169</v>
      </c>
      <c r="M242" s="7"/>
      <c r="N242" s="7"/>
    </row>
    <row r="243" spans="1:14" x14ac:dyDescent="0.2">
      <c r="A243" s="44">
        <v>43770</v>
      </c>
      <c r="B243" s="23">
        <v>2.7079331209999999</v>
      </c>
      <c r="C243" s="1">
        <v>2.7</v>
      </c>
      <c r="D243" s="1">
        <v>3.100869565</v>
      </c>
      <c r="E243" s="25">
        <f t="shared" si="9"/>
        <v>2.5353523390000001</v>
      </c>
      <c r="F243" s="25">
        <f t="shared" si="10"/>
        <v>2.113110593</v>
      </c>
      <c r="G243" s="26">
        <f t="shared" si="11"/>
        <v>2.5775807441907697</v>
      </c>
      <c r="H243" s="24" cm="1">
        <f t="array" ref="H243:J243">LINEST(B193:B242,E193:F242)</f>
        <v>-0.13886265977449688</v>
      </c>
      <c r="I243" s="24">
        <v>1.044225937670167</v>
      </c>
      <c r="J243" s="24">
        <v>0.22353222801588762</v>
      </c>
      <c r="K243" s="25">
        <f t="shared" si="12"/>
        <v>0.13035237680923029</v>
      </c>
      <c r="L243" s="25">
        <f t="shared" si="13"/>
        <v>1.6991742139815559E-2</v>
      </c>
      <c r="M243" s="7"/>
      <c r="N243" s="7"/>
    </row>
    <row r="244" spans="1:14" x14ac:dyDescent="0.2">
      <c r="A244" s="44">
        <v>43800</v>
      </c>
      <c r="B244" s="23">
        <v>3.0004802110000002</v>
      </c>
      <c r="C244" s="1">
        <v>3.2</v>
      </c>
      <c r="D244" s="1">
        <v>3.774509804</v>
      </c>
      <c r="E244" s="25">
        <f t="shared" si="9"/>
        <v>2.7079331209999999</v>
      </c>
      <c r="F244" s="25">
        <f t="shared" si="10"/>
        <v>2.5353523390000001</v>
      </c>
      <c r="G244" s="26">
        <f t="shared" si="11"/>
        <v>2.710928956775942</v>
      </c>
      <c r="H244" s="24" cm="1">
        <f t="array" ref="H244:J244">LINEST(B194:B243,E194:F243)</f>
        <v>-0.16898592464697268</v>
      </c>
      <c r="I244" s="24">
        <v>1.0812478404597654</v>
      </c>
      <c r="J244" s="24">
        <v>0.21142097689699924</v>
      </c>
      <c r="K244" s="25">
        <f t="shared" si="12"/>
        <v>0.28955125422405814</v>
      </c>
      <c r="L244" s="25">
        <f t="shared" si="13"/>
        <v>8.3839928822725146E-2</v>
      </c>
      <c r="M244" s="7"/>
      <c r="N244" s="7"/>
    </row>
    <row r="245" spans="1:14" x14ac:dyDescent="0.2">
      <c r="A245" s="44">
        <v>43831</v>
      </c>
      <c r="B245" s="23">
        <v>3.4688384550000002</v>
      </c>
      <c r="C245" s="1">
        <v>3.2</v>
      </c>
      <c r="D245" s="1">
        <v>3.4569767439999999</v>
      </c>
      <c r="E245" s="25">
        <f t="shared" si="9"/>
        <v>3.0004802110000002</v>
      </c>
      <c r="F245" s="25">
        <f t="shared" si="10"/>
        <v>2.7079331209999999</v>
      </c>
      <c r="G245" s="26">
        <f t="shared" si="11"/>
        <v>3.012275853912266</v>
      </c>
      <c r="H245" s="24" cm="1">
        <f t="array" ref="H245:J245">LINEST(B195:B244,E195:F244)</f>
        <v>-0.15327665082533928</v>
      </c>
      <c r="I245" s="24">
        <v>1.0852395643670756</v>
      </c>
      <c r="J245" s="24">
        <v>0.17109893628048306</v>
      </c>
      <c r="K245" s="25">
        <f t="shared" si="12"/>
        <v>0.45656260108773417</v>
      </c>
      <c r="L245" s="25">
        <f t="shared" si="13"/>
        <v>0.20844940871199749</v>
      </c>
      <c r="M245" s="7"/>
      <c r="N245" s="7"/>
    </row>
    <row r="246" spans="1:14" x14ac:dyDescent="0.2">
      <c r="A246" s="44">
        <v>43862</v>
      </c>
      <c r="B246" s="23">
        <v>3.8847629100000001</v>
      </c>
      <c r="C246" s="1">
        <v>3</v>
      </c>
      <c r="D246" s="1">
        <v>3.3862385320000001</v>
      </c>
      <c r="E246" s="25">
        <f t="shared" si="9"/>
        <v>3.4688384550000002</v>
      </c>
      <c r="F246" s="25">
        <f t="shared" si="10"/>
        <v>3.0004802110000002</v>
      </c>
      <c r="G246" s="26">
        <f t="shared" si="11"/>
        <v>3.5107513690540877</v>
      </c>
      <c r="H246" s="24" cm="1">
        <f t="array" ref="H246:J246">LINEST(B196:B245,E196:F245)</f>
        <v>-0.21758468187093863</v>
      </c>
      <c r="I246" s="24">
        <v>1.1462750067225962</v>
      </c>
      <c r="J246" s="24">
        <v>0.18736707789984453</v>
      </c>
      <c r="K246" s="25">
        <f t="shared" si="12"/>
        <v>0.37401154094591238</v>
      </c>
      <c r="L246" s="25">
        <f t="shared" si="13"/>
        <v>0.1398846327607359</v>
      </c>
      <c r="M246" s="7"/>
      <c r="N246" s="7"/>
    </row>
    <row r="247" spans="1:14" x14ac:dyDescent="0.2">
      <c r="A247" s="44">
        <v>43891</v>
      </c>
      <c r="B247" s="23">
        <v>3.7362014339999998</v>
      </c>
      <c r="C247" s="1">
        <v>3.2</v>
      </c>
      <c r="D247" s="1">
        <v>3.5122950820000001</v>
      </c>
      <c r="E247" s="25">
        <f t="shared" si="9"/>
        <v>3.8847629100000001</v>
      </c>
      <c r="F247" s="25">
        <f t="shared" si="10"/>
        <v>3.4688384550000002</v>
      </c>
      <c r="G247" s="26">
        <f t="shared" si="11"/>
        <v>3.8904989127992629</v>
      </c>
      <c r="H247" s="24" cm="1">
        <f t="array" ref="H247:J247">LINEST(B197:B246,E197:F246)</f>
        <v>-0.27343644359673991</v>
      </c>
      <c r="I247" s="24">
        <v>1.1892400538124277</v>
      </c>
      <c r="J247" s="24">
        <v>0.21909011120915034</v>
      </c>
      <c r="K247" s="25">
        <f t="shared" si="12"/>
        <v>-0.15429747879926303</v>
      </c>
      <c r="L247" s="25">
        <f t="shared" si="13"/>
        <v>2.3807711963809024E-2</v>
      </c>
      <c r="M247" s="7"/>
      <c r="N247" s="7"/>
    </row>
    <row r="248" spans="1:14" x14ac:dyDescent="0.2">
      <c r="A248" s="44">
        <v>43922</v>
      </c>
      <c r="B248" s="23">
        <v>3.4244720630000001</v>
      </c>
      <c r="C248" s="1">
        <v>2.9</v>
      </c>
      <c r="D248" s="1">
        <v>3.798305085</v>
      </c>
      <c r="E248" s="25">
        <f t="shared" si="9"/>
        <v>3.7362014339999998</v>
      </c>
      <c r="F248" s="25">
        <f t="shared" si="10"/>
        <v>3.8847629100000001</v>
      </c>
      <c r="G248" s="26">
        <f t="shared" si="11"/>
        <v>3.5708445384066385</v>
      </c>
      <c r="H248" s="24" cm="1">
        <f t="array" ref="H248:J248">LINEST(B198:B247,E198:F247)</f>
        <v>-0.21429973448649939</v>
      </c>
      <c r="I248" s="24">
        <v>1.1058964076663536</v>
      </c>
      <c r="J248" s="24">
        <v>0.27149645438416137</v>
      </c>
      <c r="K248" s="25">
        <f t="shared" si="12"/>
        <v>-0.14637247540663845</v>
      </c>
      <c r="L248" s="25">
        <f t="shared" si="13"/>
        <v>2.1424901556666976E-2</v>
      </c>
      <c r="M248" s="7"/>
      <c r="N248" s="7"/>
    </row>
    <row r="249" spans="1:14" x14ac:dyDescent="0.2">
      <c r="A249" s="44">
        <v>43952</v>
      </c>
      <c r="B249" s="23">
        <v>2.751963838</v>
      </c>
      <c r="C249" s="1">
        <v>2.5</v>
      </c>
      <c r="D249" s="1">
        <v>3.2964285709999999</v>
      </c>
      <c r="E249" s="25">
        <f t="shared" si="9"/>
        <v>3.4244720630000001</v>
      </c>
      <c r="F249" s="25">
        <f t="shared" si="10"/>
        <v>3.7362014339999998</v>
      </c>
      <c r="G249" s="26">
        <f t="shared" si="11"/>
        <v>3.2465317649222829</v>
      </c>
      <c r="H249" s="24" cm="1">
        <f t="array" ref="H249:J249">LINEST(B199:B248,E199:F248)</f>
        <v>-0.21040292747394398</v>
      </c>
      <c r="I249" s="24">
        <v>1.0916115394165866</v>
      </c>
      <c r="J249" s="24">
        <v>0.29444626388770656</v>
      </c>
      <c r="K249" s="25">
        <f t="shared" si="12"/>
        <v>-0.49456792692228291</v>
      </c>
      <c r="L249" s="25">
        <f t="shared" si="13"/>
        <v>0.24459743434020456</v>
      </c>
      <c r="M249" s="7"/>
      <c r="N249" s="7"/>
    </row>
    <row r="250" spans="1:14" x14ac:dyDescent="0.2">
      <c r="A250" s="44">
        <v>43983</v>
      </c>
      <c r="B250" s="23">
        <v>2.628031381</v>
      </c>
      <c r="C250" s="1">
        <v>2.5</v>
      </c>
      <c r="D250" s="1">
        <v>3.2269230769999999</v>
      </c>
      <c r="E250" s="25">
        <f t="shared" si="9"/>
        <v>2.751963838</v>
      </c>
      <c r="F250" s="25">
        <f t="shared" si="10"/>
        <v>3.4244720630000001</v>
      </c>
      <c r="G250" s="26">
        <f t="shared" si="11"/>
        <v>2.5416959451728784</v>
      </c>
      <c r="H250" s="24" cm="1">
        <f t="array" ref="H250:J250">LINEST(B200:B249,E200:F249)</f>
        <v>-0.24769640794554998</v>
      </c>
      <c r="I250" s="24">
        <v>1.1133756460674327</v>
      </c>
      <c r="J250" s="24">
        <v>0.3259558582004034</v>
      </c>
      <c r="K250" s="25">
        <f t="shared" si="12"/>
        <v>8.6335435827121554E-2</v>
      </c>
      <c r="L250" s="25">
        <f t="shared" si="13"/>
        <v>7.4538074794590244E-3</v>
      </c>
      <c r="M250" s="7"/>
      <c r="N250" s="7"/>
    </row>
    <row r="251" spans="1:14" x14ac:dyDescent="0.2">
      <c r="A251" s="44">
        <v>44013</v>
      </c>
      <c r="B251" s="23">
        <v>2.5018113679999998</v>
      </c>
      <c r="C251" s="1">
        <v>2.5</v>
      </c>
      <c r="D251" s="1">
        <v>2.903846154</v>
      </c>
      <c r="E251" s="25">
        <f t="shared" si="9"/>
        <v>2.628031381</v>
      </c>
      <c r="F251" s="25">
        <f t="shared" si="10"/>
        <v>2.751963838</v>
      </c>
      <c r="G251" s="26">
        <f t="shared" si="11"/>
        <v>2.5710617235573165</v>
      </c>
      <c r="H251" s="24" cm="1">
        <f t="array" ref="H251:J251">LINEST(B201:B250,E201:F250)</f>
        <v>-0.23932907676453266</v>
      </c>
      <c r="I251" s="24">
        <v>1.0999216557375597</v>
      </c>
      <c r="J251" s="24">
        <v>0.33905806027545093</v>
      </c>
      <c r="K251" s="25">
        <f t="shared" si="12"/>
        <v>-6.9250355557316734E-2</v>
      </c>
      <c r="L251" s="25">
        <f t="shared" si="13"/>
        <v>4.7956117448147888E-3</v>
      </c>
      <c r="M251" s="7"/>
      <c r="N251" s="7"/>
    </row>
    <row r="252" spans="1:14" x14ac:dyDescent="0.2">
      <c r="A252" s="44">
        <v>44044</v>
      </c>
      <c r="B252" s="23">
        <v>2.445426635</v>
      </c>
      <c r="C252" s="1">
        <v>2.5</v>
      </c>
      <c r="D252" s="1">
        <v>2.7833333329999999</v>
      </c>
      <c r="E252" s="25">
        <f t="shared" si="9"/>
        <v>2.5018113679999998</v>
      </c>
      <c r="F252" s="25">
        <f t="shared" si="10"/>
        <v>2.628031381</v>
      </c>
      <c r="G252" s="26">
        <f t="shared" si="11"/>
        <v>2.4526499260062051</v>
      </c>
      <c r="H252" s="24" cm="1">
        <f t="array" ref="H252:J252">LINEST(B202:B251,E202:F251)</f>
        <v>-0.26538707123427768</v>
      </c>
      <c r="I252" s="24">
        <v>1.0990013273616053</v>
      </c>
      <c r="J252" s="24">
        <v>0.40060146308121602</v>
      </c>
      <c r="K252" s="25">
        <f t="shared" si="12"/>
        <v>-7.2232910062051126E-3</v>
      </c>
      <c r="L252" s="25">
        <f t="shared" si="13"/>
        <v>5.2175932960323669E-5</v>
      </c>
      <c r="M252" s="7"/>
      <c r="N252" s="7"/>
    </row>
    <row r="253" spans="1:14" x14ac:dyDescent="0.2">
      <c r="A253" s="44">
        <v>44075</v>
      </c>
      <c r="B253" s="23">
        <v>3.0837120859999998</v>
      </c>
      <c r="C253" s="1">
        <v>2.6</v>
      </c>
      <c r="D253" s="1">
        <v>2.8614583329999999</v>
      </c>
      <c r="E253" s="25">
        <f t="shared" si="9"/>
        <v>2.445426635</v>
      </c>
      <c r="F253" s="25">
        <f t="shared" si="10"/>
        <v>2.5018113679999998</v>
      </c>
      <c r="G253" s="26">
        <f t="shared" si="11"/>
        <v>2.4208809659880082</v>
      </c>
      <c r="H253" s="24" cm="1">
        <f t="array" ref="H253:J253">LINEST(B203:B252,E203:F252)</f>
        <v>-0.26388491064580605</v>
      </c>
      <c r="I253" s="24">
        <v>1.0751805141640085</v>
      </c>
      <c r="J253" s="24">
        <v>0.4517961685156886</v>
      </c>
      <c r="K253" s="25">
        <f t="shared" si="12"/>
        <v>0.66283112001199163</v>
      </c>
      <c r="L253" s="25">
        <f t="shared" si="13"/>
        <v>0.43934509365635127</v>
      </c>
      <c r="M253" s="7"/>
      <c r="N253" s="7"/>
    </row>
    <row r="254" spans="1:14" x14ac:dyDescent="0.2">
      <c r="A254" s="44">
        <v>44105</v>
      </c>
      <c r="B254" s="23">
        <v>2.9564600950000002</v>
      </c>
      <c r="C254" s="1">
        <v>2.7</v>
      </c>
      <c r="D254" s="1">
        <v>2.8022988510000002</v>
      </c>
      <c r="E254" s="25">
        <f t="shared" si="9"/>
        <v>3.0837120859999998</v>
      </c>
      <c r="F254" s="25">
        <f t="shared" si="10"/>
        <v>2.445426635</v>
      </c>
      <c r="G254" s="26">
        <f t="shared" si="11"/>
        <v>3.1207499545762967</v>
      </c>
      <c r="H254" s="24" cm="1">
        <f t="array" ref="H254:J254">LINEST(B204:B253,E204:F253)</f>
        <v>-0.26353958385043869</v>
      </c>
      <c r="I254" s="24">
        <v>1.0560414545370995</v>
      </c>
      <c r="J254" s="24">
        <v>0.50868887562790222</v>
      </c>
      <c r="K254" s="25">
        <f t="shared" si="12"/>
        <v>-0.16428985957629649</v>
      </c>
      <c r="L254" s="25">
        <f t="shared" si="13"/>
        <v>2.6991157959599221E-2</v>
      </c>
      <c r="M254" s="7"/>
      <c r="N254" s="7"/>
    </row>
    <row r="255" spans="1:14" x14ac:dyDescent="0.2">
      <c r="A255" s="44">
        <v>44136</v>
      </c>
      <c r="B255" s="23">
        <v>2.7280128330000002</v>
      </c>
      <c r="C255" s="1">
        <v>2.9</v>
      </c>
      <c r="D255" s="1">
        <v>3.0897727270000002</v>
      </c>
      <c r="E255" s="25">
        <f t="shared" si="9"/>
        <v>2.9564600950000002</v>
      </c>
      <c r="F255" s="25">
        <f t="shared" si="10"/>
        <v>3.0837120859999998</v>
      </c>
      <c r="G255" s="26">
        <f t="shared" si="11"/>
        <v>2.8368762382466786</v>
      </c>
      <c r="H255" s="24" cm="1">
        <f t="array" ref="H255:J255">LINEST(B205:B254,E205:F254)</f>
        <v>-0.22286725976415445</v>
      </c>
      <c r="I255" s="24">
        <v>1.040753552822802</v>
      </c>
      <c r="J255" s="24">
        <v>0.44718835310501404</v>
      </c>
      <c r="K255" s="25">
        <f t="shared" si="12"/>
        <v>-0.10886340524667837</v>
      </c>
      <c r="L255" s="25">
        <f t="shared" si="13"/>
        <v>1.185124100190252E-2</v>
      </c>
      <c r="M255" s="7"/>
      <c r="N255" s="7"/>
    </row>
    <row r="256" spans="1:14" x14ac:dyDescent="0.2">
      <c r="A256" s="44">
        <v>44166</v>
      </c>
      <c r="B256" s="23">
        <v>2.9728708990000001</v>
      </c>
      <c r="C256" s="1">
        <v>2.9</v>
      </c>
      <c r="D256" s="1">
        <v>3.149</v>
      </c>
      <c r="E256" s="25">
        <f t="shared" si="9"/>
        <v>2.7280128330000002</v>
      </c>
      <c r="F256" s="25">
        <f t="shared" si="10"/>
        <v>2.9564600950000002</v>
      </c>
      <c r="G256" s="26">
        <f t="shared" si="11"/>
        <v>2.620098679344383</v>
      </c>
      <c r="H256" s="24" cm="1">
        <f t="array" ref="H256:J256">LINEST(B206:B255,E206:F255)</f>
        <v>-0.23452681181684976</v>
      </c>
      <c r="I256" s="24">
        <v>1.0449294902937207</v>
      </c>
      <c r="J256" s="24">
        <v>0.46288678058705401</v>
      </c>
      <c r="K256" s="25">
        <f t="shared" si="12"/>
        <v>0.35277221965561711</v>
      </c>
      <c r="L256" s="25">
        <f t="shared" si="13"/>
        <v>0.12444823896075097</v>
      </c>
      <c r="M256" s="7"/>
      <c r="N256" s="7"/>
    </row>
    <row r="257" spans="1:14" x14ac:dyDescent="0.2">
      <c r="A257" s="44">
        <v>44197</v>
      </c>
      <c r="B257" s="23">
        <v>3.112206333</v>
      </c>
      <c r="C257" s="1">
        <v>3</v>
      </c>
      <c r="D257" s="1">
        <v>3.0714285710000002</v>
      </c>
      <c r="E257" s="25">
        <f t="shared" si="9"/>
        <v>2.9728708990000001</v>
      </c>
      <c r="F257" s="25">
        <f t="shared" si="10"/>
        <v>2.7280128330000002</v>
      </c>
      <c r="G257" s="26">
        <f t="shared" si="11"/>
        <v>2.9374447567467565</v>
      </c>
      <c r="H257" s="24" cm="1">
        <f t="array" ref="H257:J257">LINEST(B207:B256,E207:F256)</f>
        <v>-0.20585341508738178</v>
      </c>
      <c r="I257" s="24">
        <v>1.0297607100192898</v>
      </c>
      <c r="J257" s="24">
        <v>0.43766986707208533</v>
      </c>
      <c r="K257" s="25">
        <f t="shared" si="12"/>
        <v>0.17476157625324351</v>
      </c>
      <c r="L257" s="25">
        <f t="shared" si="13"/>
        <v>3.0541608534518247E-2</v>
      </c>
      <c r="M257" s="7"/>
      <c r="N257" s="7"/>
    </row>
    <row r="258" spans="1:14" x14ac:dyDescent="0.2">
      <c r="A258" s="44">
        <v>44228</v>
      </c>
      <c r="B258" s="23">
        <v>2.8421620390000002</v>
      </c>
      <c r="C258" s="1">
        <v>3</v>
      </c>
      <c r="D258" s="1">
        <v>3.2366336630000001</v>
      </c>
      <c r="E258" s="25">
        <f t="shared" si="9"/>
        <v>3.112206333</v>
      </c>
      <c r="F258" s="25">
        <f t="shared" si="10"/>
        <v>2.9728708990000001</v>
      </c>
      <c r="G258" s="26">
        <f t="shared" si="11"/>
        <v>3.0315718753856125</v>
      </c>
      <c r="H258" s="24" cm="1">
        <f t="array" ref="H258:J258">LINEST(B208:B257,E208:F257)</f>
        <v>-0.22909296334847909</v>
      </c>
      <c r="I258" s="24">
        <v>1.0503868812066106</v>
      </c>
      <c r="J258" s="24">
        <v>0.44361497549864748</v>
      </c>
      <c r="K258" s="25">
        <f t="shared" si="12"/>
        <v>-0.18940983638561226</v>
      </c>
      <c r="L258" s="25">
        <f t="shared" si="13"/>
        <v>3.5876086119624409E-2</v>
      </c>
      <c r="M258" s="7"/>
      <c r="N258" s="7"/>
    </row>
    <row r="259" spans="1:14" x14ac:dyDescent="0.2">
      <c r="A259" s="44">
        <v>44256</v>
      </c>
      <c r="B259" s="23">
        <v>2.8880431369999999</v>
      </c>
      <c r="C259" s="1">
        <v>3</v>
      </c>
      <c r="D259" s="1">
        <v>3.3558558559999998</v>
      </c>
      <c r="E259" s="25">
        <f t="shared" si="9"/>
        <v>2.8421620390000002</v>
      </c>
      <c r="F259" s="25">
        <f t="shared" si="10"/>
        <v>3.112206333</v>
      </c>
      <c r="G259" s="26">
        <f t="shared" si="11"/>
        <v>2.7146097325893681</v>
      </c>
      <c r="H259" s="24" cm="1">
        <f t="array" ref="H259:J259">LINEST(B209:B258,E209:F258)</f>
        <v>-0.22761631846736841</v>
      </c>
      <c r="I259" s="24">
        <v>1.0457130255849296</v>
      </c>
      <c r="J259" s="24">
        <v>0.45091281541233386</v>
      </c>
      <c r="K259" s="25">
        <f t="shared" si="12"/>
        <v>0.17343340441063182</v>
      </c>
      <c r="L259" s="25">
        <f t="shared" si="13"/>
        <v>3.0079145765461765E-2</v>
      </c>
      <c r="M259" s="7"/>
      <c r="N259" s="7"/>
    </row>
    <row r="260" spans="1:14" x14ac:dyDescent="0.2">
      <c r="A260" s="44">
        <v>44287</v>
      </c>
      <c r="B260" s="23">
        <v>3.3179267019999998</v>
      </c>
      <c r="C260" s="1">
        <v>3</v>
      </c>
      <c r="D260" s="1">
        <v>3.395132743</v>
      </c>
      <c r="E260" s="25">
        <f t="shared" si="9"/>
        <v>2.8880431369999999</v>
      </c>
      <c r="F260" s="25">
        <f t="shared" si="10"/>
        <v>2.8421620390000002</v>
      </c>
      <c r="G260" s="26">
        <f t="shared" si="11"/>
        <v>2.8250894601995018</v>
      </c>
      <c r="H260" s="24" cm="1">
        <f t="array" ref="H260:J260">LINEST(B210:B259,E210:F259)</f>
        <v>-0.22381985703467924</v>
      </c>
      <c r="I260" s="24">
        <v>1.0442918724888315</v>
      </c>
      <c r="J260" s="24">
        <v>0.44526178607162537</v>
      </c>
      <c r="K260" s="25">
        <f t="shared" si="12"/>
        <v>0.49283724180049804</v>
      </c>
      <c r="L260" s="25">
        <f t="shared" si="13"/>
        <v>0.24288854690552258</v>
      </c>
      <c r="M260" s="7"/>
      <c r="N260" s="7"/>
    </row>
    <row r="261" spans="1:14" x14ac:dyDescent="0.2">
      <c r="A261" s="44">
        <v>44317</v>
      </c>
      <c r="B261" s="23">
        <v>3.6470434350000001</v>
      </c>
      <c r="C261" s="1">
        <v>3</v>
      </c>
      <c r="D261" s="1">
        <v>3.5</v>
      </c>
      <c r="E261" s="25">
        <f t="shared" ref="E261:E308" si="14">B260</f>
        <v>3.3179267019999998</v>
      </c>
      <c r="F261" s="25">
        <f t="shared" si="10"/>
        <v>2.8880431369999999</v>
      </c>
      <c r="G261" s="26">
        <f t="shared" si="11"/>
        <v>3.2850122429619528</v>
      </c>
      <c r="H261" s="24" cm="1">
        <f t="array" ref="H261:J261">LINEST(B211:B260,E211:F260)</f>
        <v>-0.22148103436386959</v>
      </c>
      <c r="I261" s="24">
        <v>1.0566139575454991</v>
      </c>
      <c r="J261" s="24">
        <v>0.41889136078608169</v>
      </c>
      <c r="K261" s="25">
        <f t="shared" si="12"/>
        <v>0.36203119203804723</v>
      </c>
      <c r="L261" s="25">
        <f t="shared" si="13"/>
        <v>0.13106658400848945</v>
      </c>
      <c r="M261" s="7"/>
      <c r="N261" s="7"/>
    </row>
    <row r="262" spans="1:14" x14ac:dyDescent="0.2">
      <c r="A262" s="44">
        <v>44348</v>
      </c>
      <c r="B262" s="23">
        <v>3.804306983</v>
      </c>
      <c r="C262" s="1">
        <v>3.2</v>
      </c>
      <c r="D262" s="1">
        <v>3.5401960780000001</v>
      </c>
      <c r="E262" s="25">
        <f t="shared" si="14"/>
        <v>3.6470434350000001</v>
      </c>
      <c r="F262" s="25">
        <f t="shared" ref="F262:F308" si="15">B260</f>
        <v>3.3179267019999998</v>
      </c>
      <c r="G262" s="26">
        <f t="shared" si="11"/>
        <v>3.5696668384319485</v>
      </c>
      <c r="H262" s="24" cm="1">
        <f t="array" ref="H262:J262">LINEST(B212:B261,E212:F261)</f>
        <v>-0.24784832289043171</v>
      </c>
      <c r="I262" s="24">
        <v>1.0979519221975813</v>
      </c>
      <c r="J262" s="24">
        <v>0.38773105719970979</v>
      </c>
      <c r="K262" s="25">
        <f t="shared" si="12"/>
        <v>0.23464014456805149</v>
      </c>
      <c r="L262" s="25">
        <f t="shared" si="13"/>
        <v>5.5055997442916102E-2</v>
      </c>
      <c r="M262" s="7"/>
      <c r="N262" s="7"/>
    </row>
    <row r="263" spans="1:14" x14ac:dyDescent="0.2">
      <c r="A263" s="44">
        <v>44378</v>
      </c>
      <c r="B263" s="23">
        <v>4.5391987560000002</v>
      </c>
      <c r="C263" s="1">
        <v>3.3</v>
      </c>
      <c r="D263" s="1">
        <v>3.6294642860000002</v>
      </c>
      <c r="E263" s="25">
        <f t="shared" si="14"/>
        <v>3.804306983</v>
      </c>
      <c r="F263" s="25">
        <f t="shared" si="15"/>
        <v>3.6470434350000001</v>
      </c>
      <c r="G263" s="26">
        <f t="shared" si="11"/>
        <v>3.6890862272107401</v>
      </c>
      <c r="H263" s="24" cm="1">
        <f t="array" ref="H263:J263">LINEST(B213:B262,E213:F262)</f>
        <v>-0.25322741529978376</v>
      </c>
      <c r="I263" s="24">
        <v>1.1199044369813655</v>
      </c>
      <c r="J263" s="24">
        <v>0.35215733984094311</v>
      </c>
      <c r="K263" s="25">
        <f t="shared" si="12"/>
        <v>0.85011252878926014</v>
      </c>
      <c r="L263" s="25">
        <f t="shared" si="13"/>
        <v>0.72269131160447064</v>
      </c>
      <c r="M263" s="7"/>
      <c r="N263" s="7"/>
    </row>
    <row r="264" spans="1:14" x14ac:dyDescent="0.2">
      <c r="A264" s="44">
        <v>44409</v>
      </c>
      <c r="B264" s="23">
        <v>4.7764148549999996</v>
      </c>
      <c r="C264" s="1">
        <v>3.5</v>
      </c>
      <c r="D264" s="1">
        <v>3.7718446600000002</v>
      </c>
      <c r="E264" s="25">
        <f t="shared" si="14"/>
        <v>4.5391987560000002</v>
      </c>
      <c r="F264" s="25">
        <f t="shared" si="15"/>
        <v>3.804306983</v>
      </c>
      <c r="G264" s="26">
        <f t="shared" si="11"/>
        <v>4.6067442790995532</v>
      </c>
      <c r="H264" s="24" cm="1">
        <f t="array" ref="H264:J264">LINEST(B214:B263,E214:F263)</f>
        <v>-0.23233266922375739</v>
      </c>
      <c r="I264" s="24">
        <v>1.1640036181573215</v>
      </c>
      <c r="J264" s="24">
        <v>0.20696529948730991</v>
      </c>
      <c r="K264" s="25">
        <f t="shared" si="12"/>
        <v>0.16967057590044643</v>
      </c>
      <c r="L264" s="25">
        <f t="shared" si="13"/>
        <v>2.8788104326389154E-2</v>
      </c>
      <c r="M264" s="7"/>
      <c r="N264" s="7"/>
    </row>
    <row r="265" spans="1:14" x14ac:dyDescent="0.2">
      <c r="A265" s="44">
        <v>44440</v>
      </c>
      <c r="B265" s="23">
        <v>5.3413926250000001</v>
      </c>
      <c r="C265" s="1">
        <v>4.3</v>
      </c>
      <c r="D265" s="1">
        <v>4.4580952380000003</v>
      </c>
      <c r="E265" s="25">
        <f t="shared" si="14"/>
        <v>4.7764148549999996</v>
      </c>
      <c r="F265" s="25">
        <f t="shared" si="15"/>
        <v>4.5391987560000002</v>
      </c>
      <c r="G265" s="26">
        <f t="shared" si="11"/>
        <v>4.7701434605570903</v>
      </c>
      <c r="H265" s="24" cm="1">
        <f t="array" ref="H265:J265">LINEST(B215:B264,E215:F264)</f>
        <v>-0.21518841379643316</v>
      </c>
      <c r="I265" s="24">
        <v>1.1652640379431922</v>
      </c>
      <c r="J265" s="24">
        <v>0.18114197993832659</v>
      </c>
      <c r="K265" s="25">
        <f t="shared" si="12"/>
        <v>0.57124916444290985</v>
      </c>
      <c r="L265" s="25">
        <f t="shared" si="13"/>
        <v>0.32632560787672266</v>
      </c>
      <c r="M265" s="7"/>
      <c r="N265" s="7"/>
    </row>
    <row r="266" spans="1:14" x14ac:dyDescent="0.2">
      <c r="A266" s="44">
        <v>44470</v>
      </c>
      <c r="B266" s="23">
        <v>6.0259159760000003</v>
      </c>
      <c r="C266" s="1">
        <v>4.5</v>
      </c>
      <c r="D266" s="1">
        <v>4.7642201829999999</v>
      </c>
      <c r="E266" s="25">
        <f t="shared" si="14"/>
        <v>5.3413926250000001</v>
      </c>
      <c r="F266" s="25">
        <f t="shared" si="15"/>
        <v>4.7764148549999996</v>
      </c>
      <c r="G266" s="26">
        <f t="shared" si="11"/>
        <v>5.5243970500769404</v>
      </c>
      <c r="H266" s="24" cm="1">
        <f t="array" ref="H266:J266">LINEST(B216:B265,E216:F265)</f>
        <v>-0.20783104334243463</v>
      </c>
      <c r="I266" s="24">
        <v>1.2098523847423566</v>
      </c>
      <c r="J266" s="24">
        <v>5.4787727626408045E-2</v>
      </c>
      <c r="K266" s="25">
        <f t="shared" si="12"/>
        <v>0.50151892592305991</v>
      </c>
      <c r="L266" s="25">
        <f t="shared" si="13"/>
        <v>0.25152123305901963</v>
      </c>
      <c r="M266" s="7"/>
      <c r="N266" s="7"/>
    </row>
    <row r="267" spans="1:14" x14ac:dyDescent="0.2">
      <c r="A267" s="44">
        <v>44501</v>
      </c>
      <c r="B267" s="23">
        <v>6.7011794350000002</v>
      </c>
      <c r="C267" s="1">
        <v>4.8</v>
      </c>
      <c r="D267" s="1">
        <v>5.4114583329999997</v>
      </c>
      <c r="E267" s="25">
        <f t="shared" si="14"/>
        <v>6.0259159760000003</v>
      </c>
      <c r="F267" s="25">
        <f t="shared" si="15"/>
        <v>5.3413926250000001</v>
      </c>
      <c r="G267" s="26">
        <f t="shared" si="11"/>
        <v>6.3913295126341794</v>
      </c>
      <c r="H267" s="24" cm="1">
        <f t="array" ref="H267:J267">LINEST(B217:B266,E217:F266)</f>
        <v>-0.21257317607421047</v>
      </c>
      <c r="I267" s="24">
        <v>1.2582584104531869</v>
      </c>
      <c r="J267" s="24">
        <v>-5.5393149896431071E-2</v>
      </c>
      <c r="K267" s="25">
        <f t="shared" si="12"/>
        <v>0.30984992236582087</v>
      </c>
      <c r="L267" s="25">
        <f t="shared" si="13"/>
        <v>9.6006974390105221E-2</v>
      </c>
      <c r="M267" s="7"/>
      <c r="N267" s="7"/>
    </row>
    <row r="268" spans="1:14" x14ac:dyDescent="0.2">
      <c r="A268" s="44">
        <v>44531</v>
      </c>
      <c r="B268" s="23">
        <v>7.1728409299999996</v>
      </c>
      <c r="C268" s="1">
        <v>4.8</v>
      </c>
      <c r="D268" s="1">
        <v>5.546391753</v>
      </c>
      <c r="E268" s="25">
        <f t="shared" si="14"/>
        <v>6.7011794350000002</v>
      </c>
      <c r="F268" s="25">
        <f t="shared" si="15"/>
        <v>6.0259159760000003</v>
      </c>
      <c r="G268" s="26">
        <f t="shared" si="11"/>
        <v>7.161056671512446</v>
      </c>
      <c r="H268" s="24" cm="1">
        <f t="array" ref="H268:J268">LINEST(B218:B267,E218:F267)</f>
        <v>-0.24655695408758938</v>
      </c>
      <c r="I268" s="24">
        <v>1.2999029464613345</v>
      </c>
      <c r="J268" s="24">
        <v>-6.409473217985151E-2</v>
      </c>
      <c r="K268" s="25">
        <f t="shared" si="12"/>
        <v>1.1784258487553601E-2</v>
      </c>
      <c r="L268" s="25">
        <f t="shared" si="13"/>
        <v>1.3886874810147907E-4</v>
      </c>
      <c r="M268" s="7"/>
      <c r="N268" s="7"/>
    </row>
    <row r="269" spans="1:14" x14ac:dyDescent="0.2">
      <c r="A269" s="44">
        <v>44562</v>
      </c>
      <c r="B269" s="23">
        <v>7.7037331360000003</v>
      </c>
      <c r="C269" s="1">
        <v>4.7</v>
      </c>
      <c r="D269" s="1">
        <v>5.6413043480000002</v>
      </c>
      <c r="E269" s="25">
        <f t="shared" si="14"/>
        <v>7.1728409299999996</v>
      </c>
      <c r="F269" s="25">
        <f t="shared" si="15"/>
        <v>6.7011794350000002</v>
      </c>
      <c r="G269" s="26">
        <f t="shared" si="11"/>
        <v>7.6451261378894904</v>
      </c>
      <c r="H269" s="24" cm="1">
        <f t="array" ref="H269:J269">LINEST(B219:B268,E219:F268)</f>
        <v>-0.28691265769314994</v>
      </c>
      <c r="I269" s="24">
        <v>1.3478802075190326</v>
      </c>
      <c r="J269" s="24">
        <v>-0.10035098196539016</v>
      </c>
      <c r="K269" s="25">
        <f t="shared" si="12"/>
        <v>5.8606998110509956E-2</v>
      </c>
      <c r="L269" s="25">
        <f t="shared" si="13"/>
        <v>3.4347802275253177E-3</v>
      </c>
      <c r="M269" s="7"/>
      <c r="N269" s="7"/>
    </row>
    <row r="270" spans="1:14" x14ac:dyDescent="0.2">
      <c r="A270" s="44">
        <v>44593</v>
      </c>
      <c r="B270" s="23">
        <v>7.8155724319999997</v>
      </c>
      <c r="C270" s="1">
        <v>4.8</v>
      </c>
      <c r="D270" s="1">
        <v>5.8592233010000001</v>
      </c>
      <c r="E270" s="25">
        <f t="shared" si="14"/>
        <v>7.7037331360000003</v>
      </c>
      <c r="F270" s="25">
        <f t="shared" si="15"/>
        <v>7.1728409299999996</v>
      </c>
      <c r="G270" s="26">
        <f t="shared" si="11"/>
        <v>8.2339883871240609</v>
      </c>
      <c r="H270" s="24" cm="1">
        <f t="array" ref="H270:J270">LINEST(B220:B269,E220:F269)</f>
        <v>-0.2976745273814036</v>
      </c>
      <c r="I270" s="24">
        <v>1.3588081357011768</v>
      </c>
      <c r="J270" s="24">
        <v>-9.8734839523744067E-2</v>
      </c>
      <c r="K270" s="25">
        <f t="shared" si="12"/>
        <v>-0.41841595512406116</v>
      </c>
      <c r="L270" s="25">
        <f t="shared" si="13"/>
        <v>0.17507191150238036</v>
      </c>
      <c r="M270" s="7"/>
      <c r="N270" s="7"/>
    </row>
    <row r="271" spans="1:14" x14ac:dyDescent="0.2">
      <c r="A271" s="44">
        <v>44621</v>
      </c>
      <c r="B271" s="23">
        <v>9.4043689169999993</v>
      </c>
      <c r="C271" s="1">
        <v>5.3</v>
      </c>
      <c r="D271" s="1">
        <v>6.5051724139999996</v>
      </c>
      <c r="E271" s="25">
        <f t="shared" si="14"/>
        <v>7.8155724319999997</v>
      </c>
      <c r="F271" s="25">
        <f t="shared" si="15"/>
        <v>7.7037331360000003</v>
      </c>
      <c r="G271" s="26">
        <f t="shared" si="11"/>
        <v>8.1225179898953836</v>
      </c>
      <c r="H271" s="24" cm="1">
        <f t="array" ref="H271:J271">LINEST(B221:B270,E221:F270)</f>
        <v>-0.31692388866596372</v>
      </c>
      <c r="I271" s="24">
        <v>1.3588593723909101</v>
      </c>
      <c r="J271" s="24">
        <v>-5.6248797221875813E-2</v>
      </c>
      <c r="K271" s="25">
        <f t="shared" si="12"/>
        <v>1.2818509271046157</v>
      </c>
      <c r="L271" s="25">
        <f t="shared" si="13"/>
        <v>1.6431417993189628</v>
      </c>
      <c r="M271" s="7"/>
      <c r="N271" s="7"/>
    </row>
    <row r="272" spans="1:14" x14ac:dyDescent="0.2">
      <c r="A272" s="44">
        <v>44652</v>
      </c>
      <c r="B272" s="23">
        <v>10.517528520000001</v>
      </c>
      <c r="C272" s="1">
        <v>6</v>
      </c>
      <c r="D272" s="1">
        <v>7.9401709399999998</v>
      </c>
      <c r="E272" s="25">
        <f t="shared" si="14"/>
        <v>9.4043689169999993</v>
      </c>
      <c r="F272" s="25">
        <f t="shared" si="15"/>
        <v>7.8155724319999997</v>
      </c>
      <c r="G272" s="26">
        <f t="shared" si="11"/>
        <v>10.458858262976955</v>
      </c>
      <c r="H272" s="24" cm="1">
        <f t="array" ref="H272:J272">LINEST(B222:B271,E222:F271)</f>
        <v>-0.15111432412577797</v>
      </c>
      <c r="I272" s="24">
        <v>1.2622040983727729</v>
      </c>
      <c r="J272" s="24">
        <v>-0.23032978095221746</v>
      </c>
      <c r="K272" s="25">
        <f t="shared" si="12"/>
        <v>5.8670257023045735E-2</v>
      </c>
      <c r="L272" s="25">
        <f t="shared" si="13"/>
        <v>3.4421990591502476E-3</v>
      </c>
      <c r="M272" s="7"/>
      <c r="N272" s="7"/>
    </row>
    <row r="273" spans="1:14" x14ac:dyDescent="0.2">
      <c r="A273" s="44">
        <v>44682</v>
      </c>
      <c r="B273" s="23">
        <v>11.542805270000001</v>
      </c>
      <c r="C273" s="1">
        <v>6.2</v>
      </c>
      <c r="D273" s="1">
        <v>8.8008620690000008</v>
      </c>
      <c r="E273" s="25">
        <f t="shared" si="14"/>
        <v>10.517528520000001</v>
      </c>
      <c r="F273" s="25">
        <f t="shared" si="15"/>
        <v>9.4043689169999993</v>
      </c>
      <c r="G273" s="26">
        <f t="shared" si="11"/>
        <v>11.636464180626202</v>
      </c>
      <c r="H273" s="24" cm="1">
        <f t="array" ref="H273:J273">LINEST(B223:B272,E223:F272)</f>
        <v>-0.15758119643945995</v>
      </c>
      <c r="I273" s="24">
        <v>1.2690127731043492</v>
      </c>
      <c r="J273" s="24">
        <v>-0.22846214704415224</v>
      </c>
      <c r="K273" s="25">
        <f t="shared" si="12"/>
        <v>-9.3658910626201575E-2</v>
      </c>
      <c r="L273" s="25">
        <f t="shared" si="13"/>
        <v>8.7719915396868142E-3</v>
      </c>
      <c r="M273" s="7"/>
      <c r="N273" s="7"/>
    </row>
    <row r="274" spans="1:14" x14ac:dyDescent="0.2">
      <c r="A274" s="44">
        <v>44713</v>
      </c>
      <c r="B274" s="23">
        <v>12.49339779</v>
      </c>
      <c r="C274" s="1">
        <v>6.5</v>
      </c>
      <c r="D274" s="1">
        <v>9.5024999999999995</v>
      </c>
      <c r="E274" s="25">
        <f t="shared" si="14"/>
        <v>11.542805270000001</v>
      </c>
      <c r="F274" s="25">
        <f t="shared" si="15"/>
        <v>10.517528520000001</v>
      </c>
      <c r="G274" s="26">
        <f t="shared" si="11"/>
        <v>12.727929175866629</v>
      </c>
      <c r="H274" s="24" cm="1">
        <f t="array" ref="H274:J274">LINEST(B224:B273,E224:F273)</f>
        <v>-0.15473907158735736</v>
      </c>
      <c r="I274" s="24">
        <v>1.262030123794309</v>
      </c>
      <c r="J274" s="24">
        <v>-0.2119661893867224</v>
      </c>
      <c r="K274" s="25">
        <f t="shared" si="12"/>
        <v>-0.2345313858666298</v>
      </c>
      <c r="L274" s="25">
        <f t="shared" si="13"/>
        <v>5.5004970956522001E-2</v>
      </c>
      <c r="M274" s="7"/>
      <c r="N274" s="7"/>
    </row>
    <row r="275" spans="1:14" x14ac:dyDescent="0.2">
      <c r="A275" s="44">
        <v>44743</v>
      </c>
      <c r="B275" s="23">
        <v>13.12472889</v>
      </c>
      <c r="C275" s="1">
        <v>7.1</v>
      </c>
      <c r="D275" s="1">
        <v>10.1110236220473</v>
      </c>
      <c r="E275" s="25">
        <f t="shared" si="14"/>
        <v>12.49339779</v>
      </c>
      <c r="F275" s="25">
        <f t="shared" si="15"/>
        <v>11.542805270000001</v>
      </c>
      <c r="G275" s="26">
        <f t="shared" si="11"/>
        <v>13.698928858507546</v>
      </c>
      <c r="H275" s="24" cm="1">
        <f t="array" ref="H275:J275">LINEST(B225:B274,E225:F274)</f>
        <v>-0.16887058826371584</v>
      </c>
      <c r="I275" s="24">
        <v>1.2676437791424364</v>
      </c>
      <c r="J275" s="24">
        <v>-0.18900881417939697</v>
      </c>
      <c r="K275" s="25">
        <f t="shared" si="12"/>
        <v>-0.57419996850754629</v>
      </c>
      <c r="L275" s="25">
        <f t="shared" si="13"/>
        <v>0.32970560383406716</v>
      </c>
      <c r="M275" s="7"/>
      <c r="N275" s="7"/>
    </row>
    <row r="276" spans="1:14" x14ac:dyDescent="0.2">
      <c r="A276" s="44">
        <v>44774</v>
      </c>
      <c r="B276" s="23">
        <v>14.08466187</v>
      </c>
      <c r="C276" s="1">
        <v>7.3</v>
      </c>
      <c r="D276" s="1">
        <v>10.659523809523799</v>
      </c>
      <c r="E276" s="25">
        <f t="shared" si="14"/>
        <v>13.12472889</v>
      </c>
      <c r="F276" s="25">
        <f t="shared" si="15"/>
        <v>12.49339779</v>
      </c>
      <c r="G276" s="26">
        <f t="shared" si="11"/>
        <v>14.165785119012398</v>
      </c>
      <c r="H276" s="24" cm="1">
        <f t="array" ref="H276:J276">LINEST(B226:B275,E226:F275)</f>
        <v>-0.20954505483388292</v>
      </c>
      <c r="I276" s="24">
        <v>1.2891683631510085</v>
      </c>
      <c r="J276" s="24">
        <v>-0.1362704159425947</v>
      </c>
      <c r="K276" s="25">
        <f t="shared" si="12"/>
        <v>-8.1123249012398091E-2</v>
      </c>
      <c r="L276" s="25">
        <f t="shared" si="13"/>
        <v>6.580981530327548E-3</v>
      </c>
      <c r="M276" s="7"/>
      <c r="N276" s="7"/>
    </row>
    <row r="277" spans="1:14" x14ac:dyDescent="0.2">
      <c r="A277" s="44">
        <v>44805</v>
      </c>
      <c r="B277" s="23">
        <v>13.731331709999999</v>
      </c>
      <c r="C277" s="1">
        <v>7</v>
      </c>
      <c r="D277" s="1">
        <v>10.65</v>
      </c>
      <c r="E277" s="25">
        <f t="shared" si="14"/>
        <v>14.08466187</v>
      </c>
      <c r="F277" s="25">
        <f t="shared" si="15"/>
        <v>13.12472889</v>
      </c>
      <c r="G277" s="26">
        <f t="shared" ref="G277:G308" si="16">J277+(I277*E277)+(H277*F277)</f>
        <v>15.267045871728403</v>
      </c>
      <c r="H277" s="24" cm="1">
        <f t="array" ref="H277:J277">LINEST(B227:B276,E227:F276)</f>
        <v>-0.20569551316947149</v>
      </c>
      <c r="I277" s="24">
        <v>1.286256676521937</v>
      </c>
      <c r="J277" s="24">
        <v>-0.14974665087431116</v>
      </c>
      <c r="K277" s="25">
        <f t="shared" ref="K277:K308" si="17">B277-G277</f>
        <v>-1.5357141617284036</v>
      </c>
      <c r="L277" s="25">
        <f t="shared" ref="L277:L308" si="18">K277^2</f>
        <v>2.3584179865331731</v>
      </c>
      <c r="M277" s="7"/>
      <c r="N277" s="7"/>
    </row>
    <row r="278" spans="1:14" x14ac:dyDescent="0.2">
      <c r="A278" s="44">
        <v>44835</v>
      </c>
      <c r="B278" s="23">
        <v>12.80663704</v>
      </c>
      <c r="C278" s="1">
        <v>6.3</v>
      </c>
      <c r="D278" s="1">
        <v>10.2695652173913</v>
      </c>
      <c r="E278" s="25">
        <f t="shared" si="14"/>
        <v>13.731331709999999</v>
      </c>
      <c r="F278" s="25">
        <f t="shared" si="15"/>
        <v>14.08466187</v>
      </c>
      <c r="G278" s="26">
        <f t="shared" si="16"/>
        <v>14.148488994804008</v>
      </c>
      <c r="H278" s="24" cm="1">
        <f t="array" ref="H278:J278">LINEST(B228:B277,E228:F277)</f>
        <v>-0.30685037541815724</v>
      </c>
      <c r="I278" s="24">
        <v>1.3469116357367665</v>
      </c>
      <c r="J278" s="24">
        <v>-2.451767710891839E-2</v>
      </c>
      <c r="K278" s="25">
        <f t="shared" si="17"/>
        <v>-1.3418519548040084</v>
      </c>
      <c r="L278" s="25">
        <f t="shared" si="18"/>
        <v>1.8005666686113386</v>
      </c>
      <c r="M278" s="7"/>
      <c r="N278" s="7"/>
    </row>
    <row r="279" spans="1:14" x14ac:dyDescent="0.2">
      <c r="A279" s="44">
        <v>44866</v>
      </c>
      <c r="B279" s="23">
        <v>13.341456859999999</v>
      </c>
      <c r="C279" s="1">
        <v>5.8</v>
      </c>
      <c r="D279" s="1">
        <v>10.011839999999999</v>
      </c>
      <c r="E279" s="25">
        <f t="shared" si="14"/>
        <v>12.80663704</v>
      </c>
      <c r="F279" s="25">
        <f t="shared" si="15"/>
        <v>13.731331709999999</v>
      </c>
      <c r="G279" s="26">
        <f t="shared" si="16"/>
        <v>12.322140740095415</v>
      </c>
      <c r="H279" s="24" cm="1">
        <f t="array" ref="H279:J279">LINEST(B229:B278,E229:F278)</f>
        <v>-0.57904559068424966</v>
      </c>
      <c r="I279" s="24">
        <v>1.5757955034702618</v>
      </c>
      <c r="J279" s="24">
        <v>9.2566758786032821E-2</v>
      </c>
      <c r="K279" s="25">
        <f t="shared" si="17"/>
        <v>1.0193161199045839</v>
      </c>
      <c r="L279" s="25">
        <f t="shared" si="18"/>
        <v>1.0390053522973361</v>
      </c>
      <c r="M279" s="7"/>
      <c r="N279" s="7"/>
    </row>
    <row r="280" spans="1:14" x14ac:dyDescent="0.2">
      <c r="A280" s="44">
        <v>44896</v>
      </c>
      <c r="B280" s="23">
        <v>12.78165415</v>
      </c>
      <c r="C280" s="1">
        <v>5.3</v>
      </c>
      <c r="D280" s="1">
        <v>9.2612068965517196</v>
      </c>
      <c r="E280" s="25">
        <f t="shared" si="14"/>
        <v>13.341456859999999</v>
      </c>
      <c r="F280" s="25">
        <f t="shared" si="15"/>
        <v>12.80663704</v>
      </c>
      <c r="G280" s="26">
        <f t="shared" si="16"/>
        <v>13.857423051690024</v>
      </c>
      <c r="H280" s="24" cm="1">
        <f t="array" ref="H280:J280">LINEST(B230:B279,E230:F279)</f>
        <v>-0.41158179342997087</v>
      </c>
      <c r="I280" s="24">
        <v>1.4316496322435917</v>
      </c>
      <c r="J280" s="24">
        <v>2.8109885207175722E-2</v>
      </c>
      <c r="K280" s="25">
        <f t="shared" si="17"/>
        <v>-1.075768901690024</v>
      </c>
      <c r="L280" s="25">
        <f t="shared" si="18"/>
        <v>1.1572787298433607</v>
      </c>
      <c r="M280" s="7"/>
      <c r="N280" s="7"/>
    </row>
    <row r="281" spans="1:14" x14ac:dyDescent="0.2">
      <c r="A281" s="44">
        <v>44927</v>
      </c>
      <c r="B281" s="23">
        <v>12.34033586</v>
      </c>
      <c r="C281" s="1">
        <v>5</v>
      </c>
      <c r="D281" s="1">
        <v>8.3818965517241395</v>
      </c>
      <c r="E281" s="25">
        <f t="shared" si="14"/>
        <v>12.78165415</v>
      </c>
      <c r="F281" s="25">
        <f t="shared" si="15"/>
        <v>13.341456859999999</v>
      </c>
      <c r="G281" s="26">
        <f t="shared" si="16"/>
        <v>12.680942053774334</v>
      </c>
      <c r="H281" s="24" cm="1">
        <f t="array" ref="H281:J281">LINEST(B231:B280,E231:F280)</f>
        <v>-0.4398647128932261</v>
      </c>
      <c r="I281" s="24">
        <v>1.4444182526732696</v>
      </c>
      <c r="J281" s="24">
        <v>8.7323591458552396E-2</v>
      </c>
      <c r="K281" s="25">
        <f t="shared" si="17"/>
        <v>-0.34060619377433454</v>
      </c>
      <c r="L281" s="25">
        <f t="shared" si="18"/>
        <v>0.11601257923743953</v>
      </c>
      <c r="M281" s="7"/>
      <c r="N281" s="7"/>
    </row>
    <row r="282" spans="1:14" x14ac:dyDescent="0.2">
      <c r="A282" s="44">
        <v>44958</v>
      </c>
      <c r="B282" s="23">
        <v>12.31319042</v>
      </c>
      <c r="C282" s="1">
        <v>5</v>
      </c>
      <c r="D282" s="1">
        <v>8.00948275862069</v>
      </c>
      <c r="E282" s="25">
        <f t="shared" si="14"/>
        <v>12.34033586</v>
      </c>
      <c r="F282" s="25">
        <f t="shared" si="15"/>
        <v>12.78165415</v>
      </c>
      <c r="G282" s="26">
        <f t="shared" si="16"/>
        <v>12.229492235777993</v>
      </c>
      <c r="H282" s="24" cm="1">
        <f t="array" ref="H282:J282">LINEST(B232:B281,E232:F281)</f>
        <v>-0.47020076438852176</v>
      </c>
      <c r="I282" s="24">
        <v>1.4694577818879133</v>
      </c>
      <c r="J282" s="24">
        <v>0.10583322667024131</v>
      </c>
      <c r="K282" s="25">
        <f t="shared" si="17"/>
        <v>8.3698184222006589E-2</v>
      </c>
      <c r="L282" s="25">
        <f t="shared" si="18"/>
        <v>7.0053860420609525E-3</v>
      </c>
      <c r="M282" s="7"/>
      <c r="N282" s="7"/>
    </row>
    <row r="283" spans="1:14" x14ac:dyDescent="0.2">
      <c r="A283" s="44">
        <v>44986</v>
      </c>
      <c r="B283" s="23">
        <v>11.06821175</v>
      </c>
      <c r="C283" s="1">
        <v>4.8</v>
      </c>
      <c r="D283" s="1">
        <v>7.87235772357724</v>
      </c>
      <c r="E283" s="25">
        <f t="shared" si="14"/>
        <v>12.31319042</v>
      </c>
      <c r="F283" s="25">
        <f t="shared" si="15"/>
        <v>12.34033586</v>
      </c>
      <c r="G283" s="26">
        <f t="shared" si="16"/>
        <v>12.408794617621918</v>
      </c>
      <c r="H283" s="24" cm="1">
        <f t="array" ref="H283:J283">LINEST(B233:B282,E233:F282)</f>
        <v>-0.45473744431862317</v>
      </c>
      <c r="I283" s="24">
        <v>1.4538898996017193</v>
      </c>
      <c r="J283" s="24">
        <v>0.11838422512112245</v>
      </c>
      <c r="K283" s="25">
        <f t="shared" si="17"/>
        <v>-1.3405828676219187</v>
      </c>
      <c r="L283" s="25">
        <f t="shared" si="18"/>
        <v>1.7971624249614069</v>
      </c>
      <c r="M283" s="7"/>
      <c r="N283" s="7"/>
    </row>
    <row r="284" spans="1:14" x14ac:dyDescent="0.2">
      <c r="A284" s="44">
        <v>45017</v>
      </c>
      <c r="B284" s="23">
        <v>9.8243362600000008</v>
      </c>
      <c r="C284" s="1">
        <v>4.5</v>
      </c>
      <c r="D284" s="1">
        <v>7.8264150943396196</v>
      </c>
      <c r="E284" s="25">
        <f t="shared" si="14"/>
        <v>11.06821175</v>
      </c>
      <c r="F284" s="25">
        <f t="shared" si="15"/>
        <v>12.31319042</v>
      </c>
      <c r="G284" s="26">
        <f t="shared" si="16"/>
        <v>10.465408525948387</v>
      </c>
      <c r="H284" s="24" cm="1">
        <f t="array" ref="H284:J284">LINEST(B234:B283,E234:F283)</f>
        <v>-0.49212153076043214</v>
      </c>
      <c r="I284" s="24">
        <v>1.478194962286576</v>
      </c>
      <c r="J284" s="24">
        <v>0.16401979361238794</v>
      </c>
      <c r="K284" s="25">
        <f t="shared" si="17"/>
        <v>-0.64107226594838629</v>
      </c>
      <c r="L284" s="25">
        <f t="shared" si="18"/>
        <v>0.41097365016819853</v>
      </c>
      <c r="M284" s="7"/>
      <c r="N284" s="7"/>
    </row>
    <row r="285" spans="1:14" x14ac:dyDescent="0.2">
      <c r="A285" s="44">
        <v>45047</v>
      </c>
      <c r="B285" s="23">
        <v>8.8722330879999998</v>
      </c>
      <c r="C285" s="1">
        <v>4.3</v>
      </c>
      <c r="D285" s="1">
        <v>7.4347457627118603</v>
      </c>
      <c r="E285" s="25">
        <f t="shared" si="14"/>
        <v>9.8243362600000008</v>
      </c>
      <c r="F285" s="25">
        <f t="shared" si="15"/>
        <v>11.06821175</v>
      </c>
      <c r="G285" s="26">
        <f t="shared" si="16"/>
        <v>9.1031355195791814</v>
      </c>
      <c r="H285" s="24" cm="1">
        <f t="array" ref="H285:J285">LINEST(B235:B284,E235:F284)</f>
        <v>-0.56423233323266619</v>
      </c>
      <c r="I285" s="24">
        <v>1.5451065752397162</v>
      </c>
      <c r="J285" s="24">
        <v>0.16853190730292988</v>
      </c>
      <c r="K285" s="25">
        <f t="shared" si="17"/>
        <v>-0.23090243157918167</v>
      </c>
      <c r="L285" s="25">
        <f t="shared" si="18"/>
        <v>5.3315932909178673E-2</v>
      </c>
      <c r="M285" s="7"/>
      <c r="N285" s="7"/>
    </row>
    <row r="286" spans="1:14" x14ac:dyDescent="0.2">
      <c r="A286" s="44">
        <v>45078</v>
      </c>
      <c r="B286" s="23">
        <v>7.4005333689999997</v>
      </c>
      <c r="C286" s="1">
        <v>4</v>
      </c>
      <c r="D286" s="1">
        <v>7.2504587155963298</v>
      </c>
      <c r="E286" s="25">
        <f t="shared" si="14"/>
        <v>8.8722330879999998</v>
      </c>
      <c r="F286" s="25">
        <f t="shared" si="15"/>
        <v>9.8243362600000008</v>
      </c>
      <c r="G286" s="26">
        <f t="shared" si="16"/>
        <v>8.2983797394207421</v>
      </c>
      <c r="H286" s="24" cm="1">
        <f t="array" ref="H286:J286">LINEST(B236:B285,E236:F285)</f>
        <v>-0.58788077644390269</v>
      </c>
      <c r="I286" s="24">
        <v>1.5683995808274021</v>
      </c>
      <c r="J286" s="24">
        <v>0.15871151177332266</v>
      </c>
      <c r="K286" s="25">
        <f t="shared" si="17"/>
        <v>-0.89784637042074245</v>
      </c>
      <c r="L286" s="25">
        <f t="shared" si="18"/>
        <v>0.80612810487770103</v>
      </c>
      <c r="M286" s="7"/>
      <c r="N286" s="7"/>
    </row>
    <row r="287" spans="1:14" x14ac:dyDescent="0.2">
      <c r="A287" s="44">
        <v>45108</v>
      </c>
      <c r="B287" s="23">
        <v>6.0706596130000001</v>
      </c>
      <c r="C287" s="1">
        <v>3.5</v>
      </c>
      <c r="D287" s="1">
        <v>6.8078431372549</v>
      </c>
      <c r="E287" s="25">
        <f t="shared" si="14"/>
        <v>7.4005333689999997</v>
      </c>
      <c r="F287" s="25">
        <f t="shared" si="15"/>
        <v>8.8722330879999998</v>
      </c>
      <c r="G287" s="26">
        <f t="shared" si="16"/>
        <v>6.431458292448375</v>
      </c>
      <c r="H287" s="24" cm="1">
        <f t="array" ref="H287:J287">LINEST(B237:B286,E237:F286)</f>
        <v>-0.65020486039746406</v>
      </c>
      <c r="I287" s="24">
        <v>1.6260438679041564</v>
      </c>
      <c r="J287" s="24">
        <v>0.16663546496263759</v>
      </c>
      <c r="K287" s="25">
        <f t="shared" si="17"/>
        <v>-0.36079867944837485</v>
      </c>
      <c r="L287" s="25">
        <f t="shared" si="18"/>
        <v>0.13017568709169114</v>
      </c>
      <c r="M287" s="7"/>
      <c r="N287" s="7"/>
    </row>
    <row r="288" spans="1:14" x14ac:dyDescent="0.2">
      <c r="A288" s="44">
        <v>45139</v>
      </c>
      <c r="B288" s="23">
        <v>4.9251310549999996</v>
      </c>
      <c r="C288" s="1">
        <v>3.5</v>
      </c>
      <c r="D288" s="1">
        <v>6.2148148148148099</v>
      </c>
      <c r="E288" s="25">
        <f t="shared" si="14"/>
        <v>6.0706596130000001</v>
      </c>
      <c r="F288" s="25">
        <f t="shared" si="15"/>
        <v>7.4005333689999997</v>
      </c>
      <c r="G288" s="26">
        <f t="shared" si="16"/>
        <v>5.1691424821705505</v>
      </c>
      <c r="H288" s="24" cm="1">
        <f t="array" ref="H288:J288">LINEST(B238:B287,E238:F287)</f>
        <v>-0.68129602105557863</v>
      </c>
      <c r="I288" s="24">
        <v>1.6577857004072813</v>
      </c>
      <c r="J288" s="24">
        <v>0.14724372168788502</v>
      </c>
      <c r="K288" s="25">
        <f t="shared" si="17"/>
        <v>-0.24401142717055091</v>
      </c>
      <c r="L288" s="25">
        <f t="shared" si="18"/>
        <v>5.9541576589809068E-2</v>
      </c>
      <c r="M288" s="7"/>
      <c r="N288" s="7"/>
    </row>
    <row r="289" spans="1:14" x14ac:dyDescent="0.2">
      <c r="A289" s="44">
        <v>45170</v>
      </c>
      <c r="B289" s="23">
        <v>4.6869637590000002</v>
      </c>
      <c r="C289" s="1">
        <v>3.5</v>
      </c>
      <c r="D289" s="1">
        <v>6.0718181818181796</v>
      </c>
      <c r="E289" s="25">
        <f t="shared" si="14"/>
        <v>4.9251310549999996</v>
      </c>
      <c r="F289" s="25">
        <f t="shared" si="15"/>
        <v>6.0706596130000001</v>
      </c>
      <c r="G289" s="26">
        <f t="shared" si="16"/>
        <v>4.1552124288788868</v>
      </c>
      <c r="H289" s="24" cm="1">
        <f t="array" ref="H289:J289">LINEST(B239:B288,E239:F288)</f>
        <v>-0.70270334028004511</v>
      </c>
      <c r="I289" s="24">
        <v>1.6773426208652438</v>
      </c>
      <c r="J289" s="24">
        <v>0.15995298473865116</v>
      </c>
      <c r="K289" s="25">
        <f t="shared" si="17"/>
        <v>0.53175133012111342</v>
      </c>
      <c r="L289" s="25">
        <f t="shared" si="18"/>
        <v>0.28275947708557336</v>
      </c>
      <c r="M289" s="7"/>
      <c r="N289" s="7"/>
    </row>
    <row r="290" spans="1:14" x14ac:dyDescent="0.2">
      <c r="A290" s="44">
        <v>45200</v>
      </c>
      <c r="B290" s="23">
        <v>4.4535305410000001</v>
      </c>
      <c r="C290" s="1">
        <v>3.4</v>
      </c>
      <c r="D290" s="1">
        <v>5.49189189189189</v>
      </c>
      <c r="E290" s="25">
        <f t="shared" si="14"/>
        <v>4.6869637590000002</v>
      </c>
      <c r="F290" s="25">
        <f t="shared" si="15"/>
        <v>4.9251310549999996</v>
      </c>
      <c r="G290" s="26">
        <f t="shared" si="16"/>
        <v>4.5859576736004684</v>
      </c>
      <c r="H290" s="24" cm="1">
        <f t="array" ref="H290:J290">LINEST(B240:B289,E240:F289)</f>
        <v>-0.67406600888746393</v>
      </c>
      <c r="I290" s="24">
        <v>1.6470072605316053</v>
      </c>
      <c r="J290" s="24">
        <v>0.18635776617051736</v>
      </c>
      <c r="K290" s="25">
        <f t="shared" si="17"/>
        <v>-0.13242713260046823</v>
      </c>
      <c r="L290" s="25">
        <f t="shared" si="18"/>
        <v>1.7536945448781996E-2</v>
      </c>
      <c r="M290" s="7"/>
      <c r="N290" s="7"/>
    </row>
    <row r="291" spans="1:14" x14ac:dyDescent="0.2">
      <c r="A291" s="44">
        <v>45231</v>
      </c>
      <c r="B291" s="23">
        <v>4.2156180509999999</v>
      </c>
      <c r="C291" s="1">
        <v>3.3</v>
      </c>
      <c r="D291" s="1">
        <v>5.3509090909090897</v>
      </c>
      <c r="E291" s="25">
        <f t="shared" si="14"/>
        <v>4.4535305410000001</v>
      </c>
      <c r="F291" s="25">
        <f t="shared" si="15"/>
        <v>4.6869637590000002</v>
      </c>
      <c r="G291" s="26">
        <f t="shared" si="16"/>
        <v>4.3568301737261805</v>
      </c>
      <c r="H291" s="24" cm="1">
        <f t="array" ref="H291:J291">LINEST(B241:B290,E241:F290)</f>
        <v>-0.67597679327783855</v>
      </c>
      <c r="I291" s="24">
        <v>1.6494591993502463</v>
      </c>
      <c r="J291" s="24">
        <v>0.17919198530471458</v>
      </c>
      <c r="K291" s="25">
        <f t="shared" si="17"/>
        <v>-0.14121212272618067</v>
      </c>
      <c r="L291" s="25">
        <f t="shared" si="18"/>
        <v>1.9940863604833912E-2</v>
      </c>
      <c r="M291" s="7"/>
      <c r="N291" s="7"/>
    </row>
    <row r="292" spans="1:14" x14ac:dyDescent="0.2">
      <c r="A292" s="44">
        <v>45261</v>
      </c>
      <c r="B292" s="23">
        <v>3.37450056</v>
      </c>
      <c r="C292" s="1">
        <v>3.1</v>
      </c>
      <c r="D292" s="1">
        <v>4.5443478260869599</v>
      </c>
      <c r="E292" s="25">
        <f t="shared" si="14"/>
        <v>4.2156180509999999</v>
      </c>
      <c r="F292" s="25">
        <f t="shared" si="15"/>
        <v>4.4535305410000001</v>
      </c>
      <c r="G292" s="26">
        <f t="shared" si="16"/>
        <v>4.1299920966791781</v>
      </c>
      <c r="H292" s="24" cm="1">
        <f t="array" ref="H292:J292">LINEST(B242:B291,E242:F291)</f>
        <v>-0.67910265590289676</v>
      </c>
      <c r="I292" s="24">
        <v>1.6508620198799182</v>
      </c>
      <c r="J292" s="24">
        <v>0.19499278450083857</v>
      </c>
      <c r="K292" s="25">
        <f t="shared" si="17"/>
        <v>-0.75549153667917812</v>
      </c>
      <c r="L292" s="25">
        <f t="shared" si="18"/>
        <v>0.57076746199386597</v>
      </c>
      <c r="M292" s="7"/>
      <c r="N292" s="7"/>
    </row>
    <row r="293" spans="1:14" x14ac:dyDescent="0.2">
      <c r="A293" s="44">
        <v>45292</v>
      </c>
      <c r="B293" s="23">
        <v>3.2344521240000002</v>
      </c>
      <c r="C293" s="1">
        <v>3</v>
      </c>
      <c r="D293" s="1">
        <v>4.4747747747747697</v>
      </c>
      <c r="E293" s="25">
        <f t="shared" si="14"/>
        <v>3.37450056</v>
      </c>
      <c r="F293" s="25">
        <f t="shared" si="15"/>
        <v>4.2156180509999999</v>
      </c>
      <c r="G293" s="26">
        <f t="shared" si="16"/>
        <v>2.8537694155134372</v>
      </c>
      <c r="H293" s="24" cm="1">
        <f t="array" ref="H293:J293">LINEST(B243:B292,E243:F292)</f>
        <v>-0.69183294190258982</v>
      </c>
      <c r="I293" s="24">
        <v>1.6682463701496708</v>
      </c>
      <c r="J293" s="24">
        <v>0.14077454338639761</v>
      </c>
      <c r="K293" s="25">
        <f t="shared" si="17"/>
        <v>0.38068270848656294</v>
      </c>
      <c r="L293" s="25">
        <f t="shared" si="18"/>
        <v>0.14491932454066545</v>
      </c>
      <c r="M293" s="7"/>
      <c r="N293" s="7"/>
    </row>
    <row r="294" spans="1:14" x14ac:dyDescent="0.2">
      <c r="A294" s="44">
        <v>45323</v>
      </c>
      <c r="B294" s="23">
        <v>3.5666570000000002</v>
      </c>
      <c r="C294" s="1">
        <v>3</v>
      </c>
      <c r="D294" s="1">
        <v>4.2804347826087001</v>
      </c>
      <c r="E294" s="25">
        <f t="shared" si="14"/>
        <v>3.2344521240000002</v>
      </c>
      <c r="F294" s="25">
        <f t="shared" si="15"/>
        <v>3.37450056</v>
      </c>
      <c r="G294" s="26">
        <f t="shared" si="16"/>
        <v>3.223544745221651</v>
      </c>
      <c r="H294" s="24" cm="1">
        <f t="array" ref="H294:J294">LINEST(B244:B293,E244:F293)</f>
        <v>-0.68227873386353877</v>
      </c>
      <c r="I294" s="24">
        <v>1.656132884684651</v>
      </c>
      <c r="J294" s="24">
        <v>0.16921218822573714</v>
      </c>
      <c r="K294" s="25">
        <f t="shared" si="17"/>
        <v>0.34311225477834917</v>
      </c>
      <c r="L294" s="25">
        <f t="shared" si="18"/>
        <v>0.11772601937908279</v>
      </c>
      <c r="M294" s="7"/>
      <c r="N294" s="7"/>
    </row>
    <row r="295" spans="1:14" x14ac:dyDescent="0.2">
      <c r="A295" s="44">
        <v>45352</v>
      </c>
      <c r="B295" s="23">
        <v>3.209628162</v>
      </c>
      <c r="C295" s="1">
        <v>3</v>
      </c>
      <c r="D295" s="1">
        <v>4.2276315789473697</v>
      </c>
      <c r="E295" s="25">
        <f t="shared" si="14"/>
        <v>3.5666570000000002</v>
      </c>
      <c r="F295" s="25">
        <f t="shared" si="15"/>
        <v>3.2344521240000002</v>
      </c>
      <c r="G295" s="26">
        <f t="shared" si="16"/>
        <v>3.877110732273525</v>
      </c>
      <c r="H295" s="24" cm="1">
        <f t="array" ref="H295:J295">LINEST(B245:B294,E245:F294)</f>
        <v>-0.67999600717526731</v>
      </c>
      <c r="I295" s="24">
        <v>1.6527527723388726</v>
      </c>
      <c r="J295" s="24">
        <v>0.18172301726124118</v>
      </c>
      <c r="K295" s="25">
        <f t="shared" si="17"/>
        <v>-0.66748257027352498</v>
      </c>
      <c r="L295" s="25">
        <f t="shared" si="18"/>
        <v>0.44553298161895122</v>
      </c>
      <c r="M295" s="7"/>
      <c r="N295" s="7"/>
    </row>
    <row r="296" spans="1:14" x14ac:dyDescent="0.2">
      <c r="A296" s="44">
        <v>45383</v>
      </c>
      <c r="B296" s="23">
        <v>3.4821209392144001</v>
      </c>
      <c r="C296" s="1">
        <v>3.1</v>
      </c>
      <c r="D296" s="1">
        <v>4.3207920792079202</v>
      </c>
      <c r="E296" s="25">
        <f t="shared" si="14"/>
        <v>3.209628162</v>
      </c>
      <c r="F296" s="25">
        <f t="shared" si="15"/>
        <v>3.5666570000000002</v>
      </c>
      <c r="G296" s="26">
        <f t="shared" si="16"/>
        <v>3.0369312167540157</v>
      </c>
      <c r="H296" s="24" cm="1">
        <f t="array" ref="H296:J296">LINEST(B246:B295,E246:F295)</f>
        <v>-0.6672459887080382</v>
      </c>
      <c r="I296" s="24">
        <v>1.6436659061698089</v>
      </c>
      <c r="J296" s="24">
        <v>0.14121241173959298</v>
      </c>
      <c r="K296" s="25">
        <f t="shared" si="17"/>
        <v>0.44518972246038446</v>
      </c>
      <c r="L296" s="25">
        <f t="shared" si="18"/>
        <v>0.19819388898435414</v>
      </c>
      <c r="M296" s="7"/>
      <c r="N296" s="7"/>
    </row>
    <row r="297" spans="1:14" x14ac:dyDescent="0.2">
      <c r="A297" s="44">
        <v>45413</v>
      </c>
      <c r="B297" s="23">
        <v>3.4222492766591999</v>
      </c>
      <c r="C297" s="1">
        <v>3.2</v>
      </c>
      <c r="D297" s="1">
        <v>4.34255319148936</v>
      </c>
      <c r="E297" s="25">
        <f t="shared" si="14"/>
        <v>3.4821209392144001</v>
      </c>
      <c r="F297" s="25">
        <f t="shared" si="15"/>
        <v>3.209628162</v>
      </c>
      <c r="G297" s="26">
        <f t="shared" si="16"/>
        <v>3.7343797955034197</v>
      </c>
      <c r="H297" s="24" cm="1">
        <f t="array" ref="H297:J297">LINEST(B247:B296,E247:F296)</f>
        <v>-0.66053339051773219</v>
      </c>
      <c r="I297" s="24">
        <v>1.6352517322893516</v>
      </c>
      <c r="J297" s="24">
        <v>0.16030206975910488</v>
      </c>
      <c r="K297" s="25">
        <f t="shared" si="17"/>
        <v>-0.31213051884421983</v>
      </c>
      <c r="L297" s="25">
        <f t="shared" si="18"/>
        <v>9.7425460793961874E-2</v>
      </c>
      <c r="M297" s="7"/>
      <c r="N297" s="7"/>
    </row>
    <row r="298" spans="1:14" x14ac:dyDescent="0.2">
      <c r="A298" s="44">
        <v>45444</v>
      </c>
      <c r="B298" s="23">
        <v>3.7778068406444998</v>
      </c>
      <c r="C298" s="1">
        <v>3.2</v>
      </c>
      <c r="D298" s="1">
        <v>4.3369999999999997</v>
      </c>
      <c r="E298" s="25">
        <f t="shared" si="14"/>
        <v>3.4222492766591999</v>
      </c>
      <c r="F298" s="25">
        <f t="shared" si="15"/>
        <v>3.4821209392144001</v>
      </c>
      <c r="G298" s="26">
        <f t="shared" si="16"/>
        <v>3.4613339310544315</v>
      </c>
      <c r="H298" s="24" cm="1">
        <f t="array" ref="H298:J298">LINEST(B248:B297,E248:F297)</f>
        <v>-0.66592962205349093</v>
      </c>
      <c r="I298" s="24">
        <v>1.640109872232715</v>
      </c>
      <c r="J298" s="24">
        <v>0.16731658816000294</v>
      </c>
      <c r="K298" s="25">
        <f t="shared" si="17"/>
        <v>0.31647290959006824</v>
      </c>
      <c r="L298" s="25">
        <f t="shared" si="18"/>
        <v>0.1001551025044035</v>
      </c>
      <c r="M298" s="7"/>
      <c r="N298" s="7"/>
    </row>
    <row r="299" spans="1:14" x14ac:dyDescent="0.2">
      <c r="A299" s="44">
        <v>45474</v>
      </c>
      <c r="B299" s="23">
        <v>4.4173706708868998</v>
      </c>
      <c r="C299" s="1">
        <v>3.6</v>
      </c>
      <c r="D299" s="1">
        <v>4.2091503267973902</v>
      </c>
      <c r="E299" s="25">
        <f t="shared" si="14"/>
        <v>3.7778068406444998</v>
      </c>
      <c r="F299" s="25">
        <f t="shared" si="15"/>
        <v>3.4222492766591999</v>
      </c>
      <c r="G299" s="26">
        <f t="shared" si="16"/>
        <v>4.10235228490499</v>
      </c>
      <c r="H299" s="24" cm="1">
        <f t="array" ref="H299:J299">LINEST(B249:B298,E249:F298)</f>
        <v>-0.66472501191317268</v>
      </c>
      <c r="I299" s="24">
        <v>1.6365520319392395</v>
      </c>
      <c r="J299" s="24">
        <v>0.19462951477140766</v>
      </c>
      <c r="K299" s="25">
        <f t="shared" si="17"/>
        <v>0.31501838598190979</v>
      </c>
      <c r="L299" s="25">
        <f t="shared" si="18"/>
        <v>9.9236583506647491E-2</v>
      </c>
      <c r="M299" s="7"/>
      <c r="N299" s="7"/>
    </row>
    <row r="300" spans="1:14" x14ac:dyDescent="0.2">
      <c r="A300" s="44">
        <v>45505</v>
      </c>
      <c r="B300" s="23">
        <v>4.5609002268768002</v>
      </c>
      <c r="C300" s="1">
        <v>3.8</v>
      </c>
      <c r="D300" s="1">
        <v>4.3973856209150304</v>
      </c>
      <c r="E300" s="25">
        <f t="shared" si="14"/>
        <v>4.4173706708868998</v>
      </c>
      <c r="F300" s="25">
        <f t="shared" si="15"/>
        <v>3.7778068406444998</v>
      </c>
      <c r="G300" s="26">
        <f t="shared" si="16"/>
        <v>4.9366921311755627</v>
      </c>
      <c r="H300" s="24" cm="1">
        <f t="array" ref="H300:J300">LINEST(B250:B299,E250:F299)</f>
        <v>-0.66330572427324608</v>
      </c>
      <c r="I300" s="24">
        <v>1.6316375237789553</v>
      </c>
      <c r="J300" s="24">
        <v>0.2349852907140022</v>
      </c>
      <c r="K300" s="25">
        <f t="shared" si="17"/>
        <v>-0.37579190429876252</v>
      </c>
      <c r="L300" s="25">
        <f t="shared" si="18"/>
        <v>0.1412195553364903</v>
      </c>
      <c r="M300" s="7"/>
      <c r="N300" s="7"/>
    </row>
    <row r="301" spans="1:14" x14ac:dyDescent="0.2">
      <c r="A301" s="44">
        <v>45536</v>
      </c>
      <c r="B301" s="23">
        <v>3.9917311074259998</v>
      </c>
      <c r="C301" s="1">
        <v>3.8</v>
      </c>
      <c r="D301" s="1">
        <v>4.4731249999999996</v>
      </c>
      <c r="E301" s="25">
        <f t="shared" si="14"/>
        <v>4.5609002268768002</v>
      </c>
      <c r="F301" s="25">
        <f t="shared" si="15"/>
        <v>4.4173706708868998</v>
      </c>
      <c r="G301" s="26">
        <f t="shared" si="16"/>
        <v>4.7310138816316059</v>
      </c>
      <c r="H301" s="24" cm="1">
        <f t="array" ref="H301:J301">LINEST(B251:B300,E251:F300)</f>
        <v>-0.65817936248770703</v>
      </c>
      <c r="I301" s="24">
        <v>1.6285590743101532</v>
      </c>
      <c r="J301" s="24">
        <v>0.21074064216439048</v>
      </c>
      <c r="K301" s="25">
        <f t="shared" si="17"/>
        <v>-0.73928277420560606</v>
      </c>
      <c r="L301" s="25">
        <f t="shared" si="18"/>
        <v>0.54653902023713707</v>
      </c>
      <c r="M301" s="7"/>
      <c r="N301" s="7"/>
    </row>
    <row r="302" spans="1:14" x14ac:dyDescent="0.2">
      <c r="A302" s="44">
        <v>45566</v>
      </c>
      <c r="B302" s="23">
        <v>4.6984342929578</v>
      </c>
      <c r="C302" s="1">
        <v>3.7</v>
      </c>
      <c r="D302" s="1">
        <v>4.3389221556886204</v>
      </c>
      <c r="E302" s="25">
        <f t="shared" si="14"/>
        <v>3.9917311074259998</v>
      </c>
      <c r="F302" s="25">
        <f t="shared" si="15"/>
        <v>4.5609002268768002</v>
      </c>
      <c r="G302" s="26">
        <f t="shared" si="16"/>
        <v>3.6983886300485445</v>
      </c>
      <c r="H302" s="24" cm="1">
        <f t="array" ref="H302:J302">LINEST(B252:B301,E252:F301)</f>
        <v>-0.65328201221751314</v>
      </c>
      <c r="I302" s="24">
        <v>1.6248068595100515</v>
      </c>
      <c r="J302" s="24">
        <v>0.19215062312051412</v>
      </c>
      <c r="K302" s="25">
        <f t="shared" si="17"/>
        <v>1.0000456629092556</v>
      </c>
      <c r="L302" s="25">
        <f t="shared" si="18"/>
        <v>1.0000913279036123</v>
      </c>
      <c r="M302" s="7"/>
      <c r="N302" s="7"/>
    </row>
    <row r="303" spans="1:14" x14ac:dyDescent="0.2">
      <c r="A303" s="44">
        <v>45597</v>
      </c>
      <c r="B303" s="23">
        <v>4.1841311531557999</v>
      </c>
      <c r="C303" s="1">
        <v>3.6</v>
      </c>
      <c r="D303" s="1">
        <v>4.2837500000000004</v>
      </c>
      <c r="E303" s="25">
        <f t="shared" si="14"/>
        <v>4.6984342929578</v>
      </c>
      <c r="F303" s="25">
        <f t="shared" si="15"/>
        <v>3.9917311074259998</v>
      </c>
      <c r="G303" s="26">
        <f t="shared" si="16"/>
        <v>5.2311137573047848</v>
      </c>
      <c r="H303" s="24" cm="1">
        <f t="array" ref="H303:J303">LINEST(B253:B302,E253:F302)</f>
        <v>-0.62822146839636184</v>
      </c>
      <c r="I303" s="24">
        <v>1.5957318570679362</v>
      </c>
      <c r="J303" s="24">
        <v>0.24136365544215543</v>
      </c>
      <c r="K303" s="25">
        <f t="shared" si="17"/>
        <v>-1.0469826041489849</v>
      </c>
      <c r="L303" s="25">
        <f t="shared" si="18"/>
        <v>1.09617257339059</v>
      </c>
      <c r="M303" s="7"/>
      <c r="N303" s="7"/>
    </row>
    <row r="304" spans="1:14" x14ac:dyDescent="0.2">
      <c r="A304" s="44">
        <v>45627</v>
      </c>
      <c r="B304" s="23">
        <v>4.5271651727949997</v>
      </c>
      <c r="C304" s="1">
        <v>3.6</v>
      </c>
      <c r="D304" s="1">
        <v>4.1993710691823898</v>
      </c>
      <c r="E304" s="25">
        <f t="shared" si="14"/>
        <v>4.1841311531557999</v>
      </c>
      <c r="F304" s="25">
        <f t="shared" si="15"/>
        <v>4.6984342929578</v>
      </c>
      <c r="G304" s="26">
        <f>J304+(I304*E304)+(H304*F304)</f>
        <v>3.9355193512510374</v>
      </c>
      <c r="H304" s="24" cm="1">
        <f t="array" ref="H304:J304">LINEST(B254:B303,E254:F303)</f>
        <v>-0.60004480608512722</v>
      </c>
      <c r="I304" s="24">
        <v>1.5738169447531776</v>
      </c>
      <c r="J304" s="24">
        <v>0.16973393756636135</v>
      </c>
      <c r="K304" s="25">
        <f t="shared" si="17"/>
        <v>0.59164582154396239</v>
      </c>
      <c r="L304" s="25">
        <f t="shared" si="18"/>
        <v>0.35004477815043017</v>
      </c>
      <c r="M304" s="7"/>
      <c r="N304" s="7"/>
    </row>
    <row r="305" spans="1:14" x14ac:dyDescent="0.2">
      <c r="A305" s="44">
        <v>45658</v>
      </c>
      <c r="B305" s="23">
        <v>4.9415503834856001</v>
      </c>
      <c r="C305" s="1">
        <v>3.8</v>
      </c>
      <c r="D305" s="1">
        <v>4.2689440993788796</v>
      </c>
      <c r="E305" s="25">
        <f t="shared" si="14"/>
        <v>4.5271651727949997</v>
      </c>
      <c r="F305" s="25">
        <f t="shared" si="15"/>
        <v>4.1841311531557999</v>
      </c>
      <c r="G305" s="26">
        <f t="shared" si="16"/>
        <v>4.8206283877997</v>
      </c>
      <c r="H305" s="24" cm="1">
        <f t="array" ref="H305:J305">LINEST(B255:B304,E255:F304)</f>
        <v>-0.60414183156855328</v>
      </c>
      <c r="I305" s="24">
        <v>1.5725847842531655</v>
      </c>
      <c r="J305" s="24">
        <v>0.2290859796520186</v>
      </c>
      <c r="K305" s="25">
        <f t="shared" si="17"/>
        <v>0.12092199568590001</v>
      </c>
      <c r="L305" s="25">
        <f t="shared" si="18"/>
        <v>1.462212904066082E-2</v>
      </c>
      <c r="M305" s="7"/>
      <c r="N305" s="7"/>
    </row>
    <row r="306" spans="1:14" x14ac:dyDescent="0.2">
      <c r="A306" s="44">
        <v>45689</v>
      </c>
      <c r="B306" s="23">
        <v>4.7383011500194003</v>
      </c>
      <c r="C306" s="1">
        <v>3.6</v>
      </c>
      <c r="D306" s="1">
        <v>4.2895522388059701</v>
      </c>
      <c r="E306" s="25">
        <f t="shared" si="14"/>
        <v>4.9415503834856001</v>
      </c>
      <c r="F306" s="25">
        <f t="shared" si="15"/>
        <v>4.5271651727949997</v>
      </c>
      <c r="G306" s="26">
        <f t="shared" si="16"/>
        <v>5.2768313208373545</v>
      </c>
      <c r="H306" s="24" cm="1">
        <f t="array" ref="H306:J306">LINEST(B256:B305,E256:F305)</f>
        <v>-0.60441527892775326</v>
      </c>
      <c r="I306" s="24">
        <v>1.57087646826455</v>
      </c>
      <c r="J306" s="24">
        <v>0.25055390734306293</v>
      </c>
      <c r="K306" s="25">
        <f t="shared" si="17"/>
        <v>-0.53853017081795418</v>
      </c>
      <c r="L306" s="25">
        <f t="shared" si="18"/>
        <v>0.29001474488121493</v>
      </c>
      <c r="M306" s="7"/>
      <c r="N306" s="7"/>
    </row>
    <row r="307" spans="1:14" x14ac:dyDescent="0.2">
      <c r="A307" s="44">
        <v>45717</v>
      </c>
      <c r="B307" s="23">
        <v>4.9000000000000004</v>
      </c>
      <c r="C307" s="1">
        <v>3.5</v>
      </c>
      <c r="D307" s="1">
        <v>4.32</v>
      </c>
      <c r="E307" s="25">
        <f t="shared" si="14"/>
        <v>4.7383011500194003</v>
      </c>
      <c r="F307" s="25">
        <f t="shared" si="15"/>
        <v>4.9415503834856001</v>
      </c>
      <c r="G307" s="26">
        <f t="shared" si="16"/>
        <v>4.6876198037648127</v>
      </c>
      <c r="H307" s="24" cm="1">
        <f t="array" ref="H307:J307">LINEST(B257:B306,E257:F306)</f>
        <v>-0.59797378709144899</v>
      </c>
      <c r="I307" s="24">
        <v>1.5673111728141531</v>
      </c>
      <c r="J307" s="24">
        <v>0.21614506809734202</v>
      </c>
      <c r="K307" s="25">
        <f t="shared" si="17"/>
        <v>0.21238019623518767</v>
      </c>
      <c r="L307" s="25">
        <f t="shared" si="18"/>
        <v>4.5105347752896825E-2</v>
      </c>
      <c r="M307" s="7"/>
      <c r="N307" s="7"/>
    </row>
    <row r="308" spans="1:14" x14ac:dyDescent="0.2">
      <c r="A308" s="44">
        <v>45748</v>
      </c>
      <c r="C308" s="1">
        <v>3.6</v>
      </c>
      <c r="E308" s="25">
        <f t="shared" si="14"/>
        <v>4.9000000000000004</v>
      </c>
      <c r="F308" s="25">
        <f t="shared" si="15"/>
        <v>4.7383011500194003</v>
      </c>
      <c r="G308" s="26">
        <f t="shared" si="16"/>
        <v>5.0721185688716703</v>
      </c>
      <c r="H308" s="24" cm="1">
        <f t="array" ref="H308:J308">LINEST(B258:B307,E258:F307)</f>
        <v>-0.59742074785652355</v>
      </c>
      <c r="I308" s="24">
        <v>1.5653292951109266</v>
      </c>
      <c r="J308" s="24">
        <v>0.23276443944214531</v>
      </c>
      <c r="K308" s="25">
        <f t="shared" si="17"/>
        <v>-5.0721185688716703</v>
      </c>
      <c r="L308" s="25">
        <f t="shared" si="18"/>
        <v>25.726386776692802</v>
      </c>
      <c r="M308" s="7"/>
      <c r="N308" s="7"/>
    </row>
    <row r="309" spans="1:14" x14ac:dyDescent="0.2">
      <c r="C309" s="13"/>
    </row>
    <row r="310" spans="1:14" ht="16" thickBot="1" x14ac:dyDescent="0.25"/>
    <row r="311" spans="1:14" ht="16" thickBot="1" x14ac:dyDescent="0.25">
      <c r="K311" s="22" t="s">
        <v>8</v>
      </c>
      <c r="L311" s="78">
        <f>SQRT(AVERAGE(L148:L307))</f>
        <v>0.45073513456328024</v>
      </c>
    </row>
    <row r="312" spans="1:14" ht="16" thickBot="1" x14ac:dyDescent="0.25">
      <c r="K312" s="45" t="s">
        <v>69</v>
      </c>
      <c r="L312" s="46"/>
      <c r="M312" s="46"/>
      <c r="N312" s="47"/>
    </row>
    <row r="315" spans="1:14" x14ac:dyDescent="0.2">
      <c r="C315" s="4"/>
    </row>
    <row r="316" spans="1:14" x14ac:dyDescent="0.2">
      <c r="D316" s="76"/>
    </row>
    <row r="324" spans="4:4" x14ac:dyDescent="0.2">
      <c r="D324" s="77"/>
    </row>
    <row r="329" spans="4:4" x14ac:dyDescent="0.2">
      <c r="D329" s="77"/>
    </row>
  </sheetData>
  <mergeCells count="1">
    <mergeCell ref="A1:B1"/>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10F7B-F8BB-264D-9C10-2409E2EDCE03}">
  <dimension ref="A1:U344"/>
  <sheetViews>
    <sheetView zoomScale="117" workbookViewId="0">
      <pane xSplit="3" ySplit="7" topLeftCell="D319" activePane="bottomRight" state="frozen"/>
      <selection pane="topRight" activeCell="G1" sqref="G1"/>
      <selection pane="bottomLeft" activeCell="A8" sqref="A8"/>
      <selection pane="bottomRight" activeCell="D321" sqref="D321"/>
    </sheetView>
  </sheetViews>
  <sheetFormatPr baseColWidth="10" defaultRowHeight="15" x14ac:dyDescent="0.2"/>
  <cols>
    <col min="1" max="1" width="15" style="11" customWidth="1"/>
    <col min="2" max="2" width="20" style="11" customWidth="1"/>
    <col min="3" max="3" width="16.6640625" style="11" customWidth="1"/>
    <col min="4" max="4" width="16.83203125" style="11" customWidth="1"/>
    <col min="5" max="16384" width="10.83203125" style="11"/>
  </cols>
  <sheetData>
    <row r="1" spans="1:6" ht="16" x14ac:dyDescent="0.2">
      <c r="A1" s="86"/>
      <c r="B1" s="86"/>
      <c r="C1" s="86"/>
      <c r="D1" s="71"/>
    </row>
    <row r="3" spans="1:6" ht="68" x14ac:dyDescent="0.2">
      <c r="A3" s="50" t="s">
        <v>1</v>
      </c>
      <c r="B3" s="50" t="s">
        <v>2</v>
      </c>
      <c r="C3" s="50" t="s">
        <v>3</v>
      </c>
      <c r="D3" s="50" t="s">
        <v>4</v>
      </c>
      <c r="E3" s="50" t="s">
        <v>38</v>
      </c>
      <c r="F3" s="64" t="s">
        <v>37</v>
      </c>
    </row>
    <row r="4" spans="1:6" x14ac:dyDescent="0.2">
      <c r="A4" s="66">
        <v>36495</v>
      </c>
      <c r="B4" s="69">
        <v>2.320284515</v>
      </c>
      <c r="E4" s="72"/>
      <c r="F4" s="72"/>
    </row>
    <row r="5" spans="1:6" x14ac:dyDescent="0.2">
      <c r="A5" s="66">
        <v>36526</v>
      </c>
      <c r="B5" s="69">
        <v>2.8316204100000002</v>
      </c>
      <c r="E5" s="75">
        <f t="shared" ref="E5:E68" si="0">B4</f>
        <v>2.320284515</v>
      </c>
      <c r="F5" s="72"/>
    </row>
    <row r="6" spans="1:6" x14ac:dyDescent="0.2">
      <c r="A6" s="66">
        <v>36557</v>
      </c>
      <c r="B6" s="69">
        <v>3.3276025819999999</v>
      </c>
      <c r="E6" s="75">
        <f t="shared" si="0"/>
        <v>2.8316204100000002</v>
      </c>
      <c r="F6" s="75">
        <f t="shared" ref="F6:F69" si="1">E5</f>
        <v>2.320284515</v>
      </c>
    </row>
    <row r="7" spans="1:6" x14ac:dyDescent="0.2">
      <c r="A7" s="66">
        <v>36586</v>
      </c>
      <c r="B7" s="69">
        <v>3.4272735679999999</v>
      </c>
      <c r="E7" s="75">
        <f t="shared" si="0"/>
        <v>3.3276025819999999</v>
      </c>
      <c r="F7" s="75">
        <f t="shared" si="1"/>
        <v>2.8316204100000002</v>
      </c>
    </row>
    <row r="8" spans="1:6" x14ac:dyDescent="0.2">
      <c r="A8" s="66">
        <v>36617</v>
      </c>
      <c r="B8" s="69">
        <v>3.5302095370000002</v>
      </c>
      <c r="E8" s="75">
        <f t="shared" si="0"/>
        <v>3.4272735679999999</v>
      </c>
      <c r="F8" s="75">
        <f t="shared" si="1"/>
        <v>3.3276025819999999</v>
      </c>
    </row>
    <row r="9" spans="1:6" x14ac:dyDescent="0.2">
      <c r="A9" s="66">
        <v>36647</v>
      </c>
      <c r="B9" s="69">
        <v>3.6357526739999999</v>
      </c>
      <c r="E9" s="75">
        <f t="shared" si="0"/>
        <v>3.5302095370000002</v>
      </c>
      <c r="F9" s="75">
        <f t="shared" si="1"/>
        <v>3.4272735679999999</v>
      </c>
    </row>
    <row r="10" spans="1:6" x14ac:dyDescent="0.2">
      <c r="A10" s="66">
        <v>36678</v>
      </c>
      <c r="B10" s="69">
        <v>3.7285308060000002</v>
      </c>
      <c r="E10" s="75">
        <f t="shared" si="0"/>
        <v>3.6357526739999999</v>
      </c>
      <c r="F10" s="75">
        <f t="shared" si="1"/>
        <v>3.5302095370000002</v>
      </c>
    </row>
    <row r="11" spans="1:6" x14ac:dyDescent="0.2">
      <c r="A11" s="66">
        <v>36708</v>
      </c>
      <c r="B11" s="69">
        <v>3.8046348619999999</v>
      </c>
      <c r="E11" s="75">
        <f t="shared" si="0"/>
        <v>3.7285308060000002</v>
      </c>
      <c r="F11" s="75">
        <f t="shared" si="1"/>
        <v>3.6357526739999999</v>
      </c>
    </row>
    <row r="12" spans="1:6" x14ac:dyDescent="0.2">
      <c r="A12" s="66">
        <v>36739</v>
      </c>
      <c r="B12" s="69">
        <v>3.86290442</v>
      </c>
      <c r="E12" s="75">
        <f t="shared" si="0"/>
        <v>3.8046348619999999</v>
      </c>
      <c r="F12" s="75">
        <f t="shared" si="1"/>
        <v>3.7285308060000002</v>
      </c>
    </row>
    <row r="13" spans="1:6" x14ac:dyDescent="0.2">
      <c r="A13" s="66">
        <v>36770</v>
      </c>
      <c r="B13" s="69">
        <v>4.2576910459999997</v>
      </c>
      <c r="E13" s="75">
        <f t="shared" si="0"/>
        <v>3.86290442</v>
      </c>
      <c r="F13" s="75">
        <f t="shared" si="1"/>
        <v>3.8046348619999999</v>
      </c>
    </row>
    <row r="14" spans="1:6" x14ac:dyDescent="0.2">
      <c r="A14" s="66">
        <v>36800</v>
      </c>
      <c r="B14" s="69">
        <v>4.5211703920000001</v>
      </c>
      <c r="E14" s="75">
        <f t="shared" si="0"/>
        <v>4.2576910459999997</v>
      </c>
      <c r="F14" s="75">
        <f t="shared" si="1"/>
        <v>3.86290442</v>
      </c>
    </row>
    <row r="15" spans="1:6" x14ac:dyDescent="0.2">
      <c r="A15" s="66">
        <v>36831</v>
      </c>
      <c r="B15" s="69">
        <v>4.6791907239999997</v>
      </c>
      <c r="E15" s="75">
        <f t="shared" si="0"/>
        <v>4.5211703920000001</v>
      </c>
      <c r="F15" s="75">
        <f t="shared" si="1"/>
        <v>4.2576910459999997</v>
      </c>
    </row>
    <row r="16" spans="1:6" x14ac:dyDescent="0.2">
      <c r="A16" s="66">
        <v>36861</v>
      </c>
      <c r="B16" s="69">
        <v>4.5198960789999996</v>
      </c>
      <c r="E16" s="75">
        <f t="shared" si="0"/>
        <v>4.6791907239999997</v>
      </c>
      <c r="F16" s="75">
        <f t="shared" si="1"/>
        <v>4.5211703920000001</v>
      </c>
    </row>
    <row r="17" spans="1:6" x14ac:dyDescent="0.2">
      <c r="A17" s="66">
        <v>36892</v>
      </c>
      <c r="B17" s="69">
        <v>4.694050818</v>
      </c>
      <c r="C17" s="69">
        <v>3.7</v>
      </c>
      <c r="E17" s="75">
        <f t="shared" si="0"/>
        <v>4.5198960789999996</v>
      </c>
      <c r="F17" s="75">
        <f t="shared" si="1"/>
        <v>4.6791907239999997</v>
      </c>
    </row>
    <row r="18" spans="1:6" x14ac:dyDescent="0.2">
      <c r="A18" s="66">
        <v>36923</v>
      </c>
      <c r="B18" s="69">
        <v>3.7911114760000002</v>
      </c>
      <c r="C18" s="70" t="s">
        <v>0</v>
      </c>
      <c r="E18" s="75">
        <f t="shared" si="0"/>
        <v>4.694050818</v>
      </c>
      <c r="F18" s="75">
        <f t="shared" si="1"/>
        <v>4.5198960789999996</v>
      </c>
    </row>
    <row r="19" spans="1:6" x14ac:dyDescent="0.2">
      <c r="A19" s="66">
        <v>36951</v>
      </c>
      <c r="B19" s="69">
        <v>3.5327633399999998</v>
      </c>
      <c r="C19" s="70" t="s">
        <v>0</v>
      </c>
      <c r="E19" s="75">
        <f t="shared" si="0"/>
        <v>3.7911114760000002</v>
      </c>
      <c r="F19" s="75">
        <f t="shared" si="1"/>
        <v>4.694050818</v>
      </c>
    </row>
    <row r="20" spans="1:6" x14ac:dyDescent="0.2">
      <c r="A20" s="66">
        <v>36982</v>
      </c>
      <c r="B20" s="69">
        <v>3.5246542910000001</v>
      </c>
      <c r="C20" s="70" t="s">
        <v>0</v>
      </c>
      <c r="E20" s="75">
        <f t="shared" si="0"/>
        <v>3.5327633399999998</v>
      </c>
      <c r="F20" s="75">
        <f t="shared" si="1"/>
        <v>3.7911114760000002</v>
      </c>
    </row>
    <row r="21" spans="1:6" x14ac:dyDescent="0.2">
      <c r="A21" s="66">
        <v>37012</v>
      </c>
      <c r="B21" s="69">
        <v>3.7467350599999998</v>
      </c>
      <c r="C21" s="70" t="s">
        <v>0</v>
      </c>
      <c r="E21" s="75">
        <f t="shared" si="0"/>
        <v>3.5246542910000001</v>
      </c>
      <c r="F21" s="75">
        <f t="shared" si="1"/>
        <v>3.5327633399999998</v>
      </c>
    </row>
    <row r="22" spans="1:6" x14ac:dyDescent="0.2">
      <c r="A22" s="66">
        <v>37043</v>
      </c>
      <c r="B22" s="69">
        <v>3.561291384</v>
      </c>
      <c r="C22" s="70" t="s">
        <v>0</v>
      </c>
      <c r="E22" s="75">
        <f t="shared" si="0"/>
        <v>3.7467350599999998</v>
      </c>
      <c r="F22" s="75">
        <f t="shared" si="1"/>
        <v>3.5246542910000001</v>
      </c>
    </row>
    <row r="23" spans="1:6" x14ac:dyDescent="0.2">
      <c r="A23" s="66">
        <v>37073</v>
      </c>
      <c r="B23" s="69">
        <v>3.2148764270000001</v>
      </c>
      <c r="C23" s="70" t="s">
        <v>0</v>
      </c>
      <c r="E23" s="75">
        <f t="shared" si="0"/>
        <v>3.561291384</v>
      </c>
      <c r="F23" s="75">
        <f t="shared" si="1"/>
        <v>3.7467350599999998</v>
      </c>
    </row>
    <row r="24" spans="1:6" x14ac:dyDescent="0.2">
      <c r="A24" s="66">
        <v>37104</v>
      </c>
      <c r="B24" s="69">
        <v>3.7731704339999999</v>
      </c>
      <c r="C24" s="70" t="s">
        <v>0</v>
      </c>
      <c r="E24" s="75">
        <f t="shared" si="0"/>
        <v>3.2148764270000001</v>
      </c>
      <c r="F24" s="75">
        <f t="shared" si="1"/>
        <v>3.561291384</v>
      </c>
    </row>
    <row r="25" spans="1:6" x14ac:dyDescent="0.2">
      <c r="A25" s="66">
        <v>37135</v>
      </c>
      <c r="B25" s="69">
        <v>3.9018127410000001</v>
      </c>
      <c r="C25" s="69">
        <v>3.6</v>
      </c>
      <c r="E25" s="75">
        <f t="shared" si="0"/>
        <v>3.7731704339999999</v>
      </c>
      <c r="F25" s="75">
        <f t="shared" si="1"/>
        <v>3.2148764270000001</v>
      </c>
    </row>
    <row r="26" spans="1:6" x14ac:dyDescent="0.2">
      <c r="A26" s="66">
        <v>37165</v>
      </c>
      <c r="B26" s="69">
        <v>3.4089152010000001</v>
      </c>
      <c r="C26" s="69">
        <v>3.8</v>
      </c>
      <c r="E26" s="75">
        <f t="shared" si="0"/>
        <v>3.9018127410000001</v>
      </c>
      <c r="F26" s="75">
        <f t="shared" si="1"/>
        <v>3.7731704339999999</v>
      </c>
    </row>
    <row r="27" spans="1:6" x14ac:dyDescent="0.2">
      <c r="A27" s="66">
        <v>37196</v>
      </c>
      <c r="B27" s="69">
        <v>3.0589446090000001</v>
      </c>
      <c r="C27" s="69">
        <v>3.9</v>
      </c>
      <c r="E27" s="75">
        <f t="shared" si="0"/>
        <v>3.4089152010000001</v>
      </c>
      <c r="F27" s="75">
        <f t="shared" si="1"/>
        <v>3.9018127410000001</v>
      </c>
    </row>
    <row r="28" spans="1:6" x14ac:dyDescent="0.2">
      <c r="A28" s="66">
        <v>37226</v>
      </c>
      <c r="B28" s="69">
        <v>2.633621883</v>
      </c>
      <c r="C28" s="69">
        <v>3.5</v>
      </c>
      <c r="E28" s="75">
        <f t="shared" si="0"/>
        <v>3.0589446090000001</v>
      </c>
      <c r="F28" s="75">
        <f t="shared" si="1"/>
        <v>3.4089152010000001</v>
      </c>
    </row>
    <row r="29" spans="1:6" x14ac:dyDescent="0.2">
      <c r="A29" s="66">
        <v>37257</v>
      </c>
      <c r="B29" s="69">
        <v>2.2102109849999998</v>
      </c>
      <c r="C29" s="69">
        <v>3.2</v>
      </c>
      <c r="E29" s="75">
        <f t="shared" si="0"/>
        <v>2.633621883</v>
      </c>
      <c r="F29" s="75">
        <f t="shared" si="1"/>
        <v>3.0589446090000001</v>
      </c>
    </row>
    <row r="30" spans="1:6" x14ac:dyDescent="0.2">
      <c r="A30" s="66">
        <v>37288</v>
      </c>
      <c r="B30" s="69">
        <v>2.5296612230000002</v>
      </c>
      <c r="C30" s="69">
        <v>3.1</v>
      </c>
      <c r="E30" s="75">
        <f t="shared" si="0"/>
        <v>2.2102109849999998</v>
      </c>
      <c r="F30" s="75">
        <f t="shared" si="1"/>
        <v>2.633621883</v>
      </c>
    </row>
    <row r="31" spans="1:6" x14ac:dyDescent="0.2">
      <c r="A31" s="66">
        <v>37316</v>
      </c>
      <c r="B31" s="69">
        <v>2.5768234589999999</v>
      </c>
      <c r="C31" s="69">
        <v>3</v>
      </c>
      <c r="E31" s="75">
        <f t="shared" si="0"/>
        <v>2.5296612230000002</v>
      </c>
      <c r="F31" s="75">
        <f t="shared" si="1"/>
        <v>2.2102109849999998</v>
      </c>
    </row>
    <row r="32" spans="1:6" x14ac:dyDescent="0.2">
      <c r="A32" s="66">
        <v>37347</v>
      </c>
      <c r="B32" s="69">
        <v>2.483862309</v>
      </c>
      <c r="C32" s="69">
        <v>3.1</v>
      </c>
      <c r="E32" s="75">
        <f t="shared" si="0"/>
        <v>2.5768234589999999</v>
      </c>
      <c r="F32" s="75">
        <f t="shared" si="1"/>
        <v>2.5296612230000002</v>
      </c>
    </row>
    <row r="33" spans="1:6" x14ac:dyDescent="0.2">
      <c r="A33" s="66">
        <v>37377</v>
      </c>
      <c r="B33" s="69">
        <v>2.132392104</v>
      </c>
      <c r="C33" s="69">
        <v>3</v>
      </c>
      <c r="E33" s="75">
        <f t="shared" si="0"/>
        <v>2.483862309</v>
      </c>
      <c r="F33" s="75">
        <f t="shared" si="1"/>
        <v>2.5768234589999999</v>
      </c>
    </row>
    <row r="34" spans="1:6" x14ac:dyDescent="0.2">
      <c r="A34" s="66">
        <v>37408</v>
      </c>
      <c r="B34" s="69">
        <v>1.9484491289999999</v>
      </c>
      <c r="C34" s="69">
        <v>2.8</v>
      </c>
      <c r="E34" s="75">
        <f t="shared" si="0"/>
        <v>2.132392104</v>
      </c>
      <c r="F34" s="75">
        <f t="shared" si="1"/>
        <v>2.483862309</v>
      </c>
    </row>
    <row r="35" spans="1:6" x14ac:dyDescent="0.2">
      <c r="A35" s="66">
        <v>37438</v>
      </c>
      <c r="B35" s="69">
        <v>2.6000146310000001</v>
      </c>
      <c r="C35" s="69">
        <v>2.8</v>
      </c>
      <c r="E35" s="75">
        <f t="shared" si="0"/>
        <v>1.9484491289999999</v>
      </c>
      <c r="F35" s="75">
        <f t="shared" si="1"/>
        <v>2.132392104</v>
      </c>
    </row>
    <row r="36" spans="1:6" x14ac:dyDescent="0.2">
      <c r="A36" s="66">
        <v>37469</v>
      </c>
      <c r="B36" s="69">
        <v>2.1761916549999998</v>
      </c>
      <c r="C36" s="69">
        <v>2.6</v>
      </c>
      <c r="E36" s="75">
        <f t="shared" si="0"/>
        <v>2.6000146310000001</v>
      </c>
      <c r="F36" s="75">
        <f t="shared" si="1"/>
        <v>1.9484491289999999</v>
      </c>
    </row>
    <row r="37" spans="1:6" x14ac:dyDescent="0.2">
      <c r="A37" s="66">
        <v>37500</v>
      </c>
      <c r="B37" s="69">
        <v>2.2926394760000002</v>
      </c>
      <c r="C37" s="69">
        <v>2.7</v>
      </c>
      <c r="E37" s="75">
        <f t="shared" si="0"/>
        <v>2.1761916549999998</v>
      </c>
      <c r="F37" s="75">
        <f t="shared" si="1"/>
        <v>2.6000146310000001</v>
      </c>
    </row>
    <row r="38" spans="1:6" x14ac:dyDescent="0.2">
      <c r="A38" s="66">
        <v>37530</v>
      </c>
      <c r="B38" s="69">
        <v>3.06035974</v>
      </c>
      <c r="C38" s="69">
        <v>3</v>
      </c>
      <c r="E38" s="75">
        <f t="shared" si="0"/>
        <v>2.2926394760000002</v>
      </c>
      <c r="F38" s="75">
        <f t="shared" si="1"/>
        <v>2.1761916549999998</v>
      </c>
    </row>
    <row r="39" spans="1:6" x14ac:dyDescent="0.2">
      <c r="A39" s="66">
        <v>37561</v>
      </c>
      <c r="B39" s="69">
        <v>2.9807972820000002</v>
      </c>
      <c r="C39" s="69">
        <v>3</v>
      </c>
      <c r="E39" s="75">
        <f t="shared" si="0"/>
        <v>3.06035974</v>
      </c>
      <c r="F39" s="75">
        <f t="shared" si="1"/>
        <v>2.2926394760000002</v>
      </c>
    </row>
    <row r="40" spans="1:6" x14ac:dyDescent="0.2">
      <c r="A40" s="66">
        <v>37591</v>
      </c>
      <c r="B40" s="69">
        <v>2.8442239659999999</v>
      </c>
      <c r="C40" s="69">
        <v>3</v>
      </c>
      <c r="E40" s="75">
        <f t="shared" si="0"/>
        <v>2.9807972820000002</v>
      </c>
      <c r="F40" s="75">
        <f t="shared" si="1"/>
        <v>3.06035974</v>
      </c>
    </row>
    <row r="41" spans="1:6" x14ac:dyDescent="0.2">
      <c r="A41" s="66">
        <v>37622</v>
      </c>
      <c r="B41" s="69">
        <v>3.0245819599999999</v>
      </c>
      <c r="C41" s="69">
        <v>3</v>
      </c>
      <c r="E41" s="75">
        <f t="shared" si="0"/>
        <v>2.8442239659999999</v>
      </c>
      <c r="F41" s="75">
        <f t="shared" si="1"/>
        <v>2.9807972820000002</v>
      </c>
    </row>
    <row r="42" spans="1:6" x14ac:dyDescent="0.2">
      <c r="A42" s="66">
        <v>37653</v>
      </c>
      <c r="B42" s="69">
        <v>3.8320310649999998</v>
      </c>
      <c r="C42" s="69">
        <v>3</v>
      </c>
      <c r="E42" s="75">
        <f t="shared" si="0"/>
        <v>3.0245819599999999</v>
      </c>
      <c r="F42" s="75">
        <f t="shared" si="1"/>
        <v>2.8442239659999999</v>
      </c>
    </row>
    <row r="43" spans="1:6" x14ac:dyDescent="0.2">
      <c r="A43" s="66">
        <v>37681</v>
      </c>
      <c r="B43" s="69">
        <v>4.4947572600000001</v>
      </c>
      <c r="C43" s="69">
        <v>3</v>
      </c>
      <c r="E43" s="75">
        <f t="shared" si="0"/>
        <v>3.8320310649999998</v>
      </c>
      <c r="F43" s="75">
        <f t="shared" si="1"/>
        <v>3.0245819599999999</v>
      </c>
    </row>
    <row r="44" spans="1:6" x14ac:dyDescent="0.2">
      <c r="A44" s="66">
        <v>37712</v>
      </c>
      <c r="B44" s="69">
        <v>4.0014362620000004</v>
      </c>
      <c r="C44" s="69">
        <v>3</v>
      </c>
      <c r="E44" s="75">
        <f t="shared" si="0"/>
        <v>4.4947572600000001</v>
      </c>
      <c r="F44" s="75">
        <f t="shared" si="1"/>
        <v>3.8320310649999998</v>
      </c>
    </row>
    <row r="45" spans="1:6" x14ac:dyDescent="0.2">
      <c r="A45" s="66">
        <v>37742</v>
      </c>
      <c r="B45" s="69">
        <v>3.5069667369999999</v>
      </c>
      <c r="C45" s="69">
        <v>2.9</v>
      </c>
      <c r="E45" s="75">
        <f t="shared" si="0"/>
        <v>4.0014362620000004</v>
      </c>
      <c r="F45" s="75">
        <f t="shared" si="1"/>
        <v>4.4947572600000001</v>
      </c>
    </row>
    <row r="46" spans="1:6" x14ac:dyDescent="0.2">
      <c r="A46" s="66">
        <v>37773</v>
      </c>
      <c r="B46" s="69">
        <v>3.6386787279999999</v>
      </c>
      <c r="C46" s="69">
        <v>2.9</v>
      </c>
      <c r="E46" s="75">
        <f t="shared" si="0"/>
        <v>3.5069667369999999</v>
      </c>
      <c r="F46" s="75">
        <f t="shared" si="1"/>
        <v>4.0014362620000004</v>
      </c>
    </row>
    <row r="47" spans="1:6" x14ac:dyDescent="0.2">
      <c r="A47" s="66">
        <v>37803</v>
      </c>
      <c r="B47" s="69">
        <v>3.093054253</v>
      </c>
      <c r="C47" s="69">
        <v>3.1</v>
      </c>
      <c r="E47" s="75">
        <f t="shared" si="0"/>
        <v>3.6386787279999999</v>
      </c>
      <c r="F47" s="75">
        <f t="shared" si="1"/>
        <v>3.5069667369999999</v>
      </c>
    </row>
    <row r="48" spans="1:6" x14ac:dyDescent="0.2">
      <c r="A48" s="66">
        <v>37834</v>
      </c>
      <c r="B48" s="69">
        <v>2.8687406379999998</v>
      </c>
      <c r="C48" s="69">
        <v>3</v>
      </c>
      <c r="E48" s="75">
        <f t="shared" si="0"/>
        <v>3.093054253</v>
      </c>
      <c r="F48" s="75">
        <f t="shared" si="1"/>
        <v>3.6386787279999999</v>
      </c>
    </row>
    <row r="49" spans="1:6" x14ac:dyDescent="0.2">
      <c r="A49" s="66">
        <v>37865</v>
      </c>
      <c r="B49" s="69">
        <v>2.2004787540000001</v>
      </c>
      <c r="C49" s="69">
        <v>3.2</v>
      </c>
      <c r="E49" s="75">
        <f t="shared" si="0"/>
        <v>2.8687406379999998</v>
      </c>
      <c r="F49" s="75">
        <f t="shared" si="1"/>
        <v>3.093054253</v>
      </c>
    </row>
    <row r="50" spans="1:6" x14ac:dyDescent="0.2">
      <c r="A50" s="66">
        <v>37895</v>
      </c>
      <c r="B50" s="69">
        <v>1.151487167</v>
      </c>
      <c r="C50" s="69">
        <v>3</v>
      </c>
      <c r="E50" s="75">
        <f t="shared" si="0"/>
        <v>2.2004787540000001</v>
      </c>
      <c r="F50" s="75">
        <f t="shared" si="1"/>
        <v>2.8687406379999998</v>
      </c>
    </row>
    <row r="51" spans="1:6" x14ac:dyDescent="0.2">
      <c r="A51" s="66">
        <v>37926</v>
      </c>
      <c r="B51" s="69">
        <v>0.92309418600000004</v>
      </c>
      <c r="C51" s="69">
        <v>2.5</v>
      </c>
      <c r="D51" s="73"/>
      <c r="E51" s="75">
        <f t="shared" si="0"/>
        <v>1.151487167</v>
      </c>
      <c r="F51" s="75">
        <f t="shared" si="1"/>
        <v>2.2004787540000001</v>
      </c>
    </row>
    <row r="52" spans="1:6" x14ac:dyDescent="0.2">
      <c r="A52" s="66">
        <v>37956</v>
      </c>
      <c r="B52" s="69">
        <v>1.044651349</v>
      </c>
      <c r="C52" s="69">
        <v>2.2999999999999998</v>
      </c>
      <c r="D52" s="73"/>
      <c r="E52" s="75">
        <f t="shared" si="0"/>
        <v>0.92309418600000004</v>
      </c>
      <c r="F52" s="75">
        <f t="shared" si="1"/>
        <v>1.151487167</v>
      </c>
    </row>
    <row r="53" spans="1:6" x14ac:dyDescent="0.2">
      <c r="A53" s="66">
        <v>37987</v>
      </c>
      <c r="B53" s="69">
        <v>0.76684437299999997</v>
      </c>
      <c r="C53" s="69">
        <v>2</v>
      </c>
      <c r="D53" s="73"/>
      <c r="E53" s="75">
        <f t="shared" si="0"/>
        <v>1.044651349</v>
      </c>
      <c r="F53" s="75">
        <f t="shared" si="1"/>
        <v>0.92309418600000004</v>
      </c>
    </row>
    <row r="54" spans="1:6" x14ac:dyDescent="0.2">
      <c r="A54" s="66">
        <v>38018</v>
      </c>
      <c r="B54" s="69">
        <v>-1.0583085000000001E-2</v>
      </c>
      <c r="C54" s="69">
        <v>2.1</v>
      </c>
      <c r="D54" s="73"/>
      <c r="E54" s="75">
        <f t="shared" si="0"/>
        <v>0.76684437299999997</v>
      </c>
      <c r="F54" s="75">
        <f t="shared" si="1"/>
        <v>1.044651349</v>
      </c>
    </row>
    <row r="55" spans="1:6" x14ac:dyDescent="0.2">
      <c r="A55" s="66">
        <v>38047</v>
      </c>
      <c r="B55" s="69">
        <v>-0.75137248800000001</v>
      </c>
      <c r="C55" s="69">
        <v>2.2000000000000002</v>
      </c>
      <c r="D55" s="73"/>
      <c r="E55" s="75">
        <f t="shared" si="0"/>
        <v>-1.0583085000000001E-2</v>
      </c>
      <c r="F55" s="75">
        <f t="shared" si="1"/>
        <v>0.76684437299999997</v>
      </c>
    </row>
    <row r="56" spans="1:6" x14ac:dyDescent="0.2">
      <c r="A56" s="66">
        <v>38078</v>
      </c>
      <c r="B56" s="69">
        <v>-0.29596737200000001</v>
      </c>
      <c r="C56" s="69">
        <v>2.4</v>
      </c>
      <c r="D56" s="73"/>
      <c r="E56" s="75">
        <f t="shared" si="0"/>
        <v>-0.75137248800000001</v>
      </c>
      <c r="F56" s="75">
        <f t="shared" si="1"/>
        <v>-1.0583085000000001E-2</v>
      </c>
    </row>
    <row r="57" spans="1:6" x14ac:dyDescent="0.2">
      <c r="A57" s="66">
        <v>38108</v>
      </c>
      <c r="B57" s="69">
        <v>0.62111017400000001</v>
      </c>
      <c r="C57" s="69">
        <v>2.5</v>
      </c>
      <c r="D57" s="73"/>
      <c r="E57" s="75">
        <f t="shared" si="0"/>
        <v>-0.29596737200000001</v>
      </c>
      <c r="F57" s="75">
        <f t="shared" si="1"/>
        <v>-0.75137248800000001</v>
      </c>
    </row>
    <row r="58" spans="1:6" x14ac:dyDescent="0.2">
      <c r="A58" s="66">
        <v>38139</v>
      </c>
      <c r="B58" s="69">
        <v>1.055754428</v>
      </c>
      <c r="C58" s="69">
        <v>2.6</v>
      </c>
      <c r="D58" s="73"/>
      <c r="E58" s="75">
        <f t="shared" si="0"/>
        <v>0.62111017400000001</v>
      </c>
      <c r="F58" s="75">
        <f t="shared" si="1"/>
        <v>-0.29596737200000001</v>
      </c>
    </row>
    <row r="59" spans="1:6" x14ac:dyDescent="0.2">
      <c r="A59" s="66">
        <v>38169</v>
      </c>
      <c r="B59" s="69">
        <v>1.3778155299999999</v>
      </c>
      <c r="C59" s="69">
        <v>2.5</v>
      </c>
      <c r="D59" s="73"/>
      <c r="E59" s="75">
        <f t="shared" si="0"/>
        <v>1.055754428</v>
      </c>
      <c r="F59" s="75">
        <f t="shared" si="1"/>
        <v>0.62111017400000001</v>
      </c>
    </row>
    <row r="60" spans="1:6" x14ac:dyDescent="0.2">
      <c r="A60" s="66">
        <v>38200</v>
      </c>
      <c r="B60" s="69">
        <v>1.5955762060000001</v>
      </c>
      <c r="C60" s="69">
        <v>2.6</v>
      </c>
      <c r="D60" s="73"/>
      <c r="E60" s="75">
        <f t="shared" si="0"/>
        <v>1.3778155299999999</v>
      </c>
      <c r="F60" s="75">
        <f t="shared" si="1"/>
        <v>1.055754428</v>
      </c>
    </row>
    <row r="61" spans="1:6" x14ac:dyDescent="0.2">
      <c r="A61" s="66">
        <v>38231</v>
      </c>
      <c r="B61" s="69">
        <v>1.461946586</v>
      </c>
      <c r="C61" s="69">
        <v>2.8</v>
      </c>
      <c r="D61" s="73"/>
      <c r="E61" s="75">
        <f t="shared" si="0"/>
        <v>1.5955762060000001</v>
      </c>
      <c r="F61" s="75">
        <f t="shared" si="1"/>
        <v>1.3778155299999999</v>
      </c>
    </row>
    <row r="62" spans="1:6" x14ac:dyDescent="0.2">
      <c r="A62" s="66">
        <v>38261</v>
      </c>
      <c r="B62" s="69">
        <v>1.9130358139999999</v>
      </c>
      <c r="C62" s="69">
        <v>3</v>
      </c>
      <c r="D62" s="73"/>
      <c r="E62" s="75">
        <f t="shared" si="0"/>
        <v>1.461946586</v>
      </c>
      <c r="F62" s="75">
        <f t="shared" si="1"/>
        <v>1.5955762060000001</v>
      </c>
    </row>
    <row r="63" spans="1:6" x14ac:dyDescent="0.2">
      <c r="A63" s="66">
        <v>38292</v>
      </c>
      <c r="B63" s="69">
        <v>2.4830099410000002</v>
      </c>
      <c r="C63" s="69">
        <v>2.9</v>
      </c>
      <c r="D63" s="73"/>
      <c r="E63" s="75">
        <f t="shared" si="0"/>
        <v>1.9130358139999999</v>
      </c>
      <c r="F63" s="75">
        <f t="shared" si="1"/>
        <v>1.461946586</v>
      </c>
    </row>
    <row r="64" spans="1:6" x14ac:dyDescent="0.2">
      <c r="A64" s="66">
        <v>38322</v>
      </c>
      <c r="B64" s="69">
        <v>2.4210260610000001</v>
      </c>
      <c r="C64" s="69">
        <v>2.8</v>
      </c>
      <c r="D64" s="73"/>
      <c r="E64" s="75">
        <f t="shared" si="0"/>
        <v>2.4830099410000002</v>
      </c>
      <c r="F64" s="75">
        <f t="shared" si="1"/>
        <v>1.9130358139999999</v>
      </c>
    </row>
    <row r="65" spans="1:6" x14ac:dyDescent="0.2">
      <c r="A65" s="66">
        <v>38353</v>
      </c>
      <c r="B65" s="69">
        <v>2.2877997780000001</v>
      </c>
      <c r="C65" s="69">
        <v>2.7</v>
      </c>
      <c r="D65" s="73"/>
      <c r="E65" s="75">
        <f t="shared" si="0"/>
        <v>2.4210260610000001</v>
      </c>
      <c r="F65" s="75">
        <f t="shared" si="1"/>
        <v>2.4830099410000002</v>
      </c>
    </row>
    <row r="66" spans="1:6" x14ac:dyDescent="0.2">
      <c r="A66" s="66">
        <v>38384</v>
      </c>
      <c r="B66" s="69">
        <v>2.1815860890000001</v>
      </c>
      <c r="C66" s="69">
        <v>2.6</v>
      </c>
      <c r="D66" s="73"/>
      <c r="E66" s="75">
        <f t="shared" si="0"/>
        <v>2.2877997780000001</v>
      </c>
      <c r="F66" s="75">
        <f t="shared" si="1"/>
        <v>2.4210260610000001</v>
      </c>
    </row>
    <row r="67" spans="1:6" x14ac:dyDescent="0.2">
      <c r="A67" s="66">
        <v>38412</v>
      </c>
      <c r="B67" s="69">
        <v>2.4038656669999998</v>
      </c>
      <c r="C67" s="69">
        <v>2.7</v>
      </c>
      <c r="D67" s="73"/>
      <c r="E67" s="75">
        <f t="shared" si="0"/>
        <v>2.1815860890000001</v>
      </c>
      <c r="F67" s="75">
        <f t="shared" si="1"/>
        <v>2.2877997780000001</v>
      </c>
    </row>
    <row r="68" spans="1:6" x14ac:dyDescent="0.2">
      <c r="A68" s="66">
        <v>38443</v>
      </c>
      <c r="B68" s="69">
        <v>2.9504499150000001</v>
      </c>
      <c r="C68" s="69">
        <v>2.8</v>
      </c>
      <c r="D68" s="73"/>
      <c r="E68" s="75">
        <f t="shared" si="0"/>
        <v>2.4038656669999998</v>
      </c>
      <c r="F68" s="75">
        <f t="shared" si="1"/>
        <v>2.1815860890000001</v>
      </c>
    </row>
    <row r="69" spans="1:6" x14ac:dyDescent="0.2">
      <c r="A69" s="66">
        <v>38473</v>
      </c>
      <c r="B69" s="69">
        <v>2.6835984050000001</v>
      </c>
      <c r="C69" s="69">
        <v>2.9</v>
      </c>
      <c r="D69" s="73">
        <v>3</v>
      </c>
      <c r="E69" s="75">
        <f t="shared" ref="E69:E132" si="2">B68</f>
        <v>2.9504499150000001</v>
      </c>
      <c r="F69" s="75">
        <f t="shared" si="1"/>
        <v>2.4038656669999998</v>
      </c>
    </row>
    <row r="70" spans="1:6" x14ac:dyDescent="0.2">
      <c r="A70" s="66">
        <v>38504</v>
      </c>
      <c r="B70" s="69">
        <v>2.6601725599999999</v>
      </c>
      <c r="C70" s="69">
        <v>3</v>
      </c>
      <c r="D70" s="73">
        <v>3</v>
      </c>
      <c r="E70" s="75">
        <f t="shared" si="2"/>
        <v>2.6835984050000001</v>
      </c>
      <c r="F70" s="75">
        <f t="shared" ref="F70:F133" si="3">E69</f>
        <v>2.9504499150000001</v>
      </c>
    </row>
    <row r="71" spans="1:6" x14ac:dyDescent="0.2">
      <c r="A71" s="66">
        <v>38534</v>
      </c>
      <c r="B71" s="69">
        <v>3.054786848</v>
      </c>
      <c r="C71" s="69">
        <v>2.9</v>
      </c>
      <c r="D71" s="73">
        <v>3</v>
      </c>
      <c r="E71" s="75">
        <f t="shared" si="2"/>
        <v>2.6601725599999999</v>
      </c>
      <c r="F71" s="75">
        <f t="shared" si="3"/>
        <v>2.6835984050000001</v>
      </c>
    </row>
    <row r="72" spans="1:6" x14ac:dyDescent="0.2">
      <c r="A72" s="66">
        <v>38565</v>
      </c>
      <c r="B72" s="69">
        <v>2.9634008949999999</v>
      </c>
      <c r="C72" s="69">
        <v>3</v>
      </c>
      <c r="D72" s="73">
        <v>3.3</v>
      </c>
      <c r="E72" s="75">
        <f t="shared" si="2"/>
        <v>3.054786848</v>
      </c>
      <c r="F72" s="75">
        <f t="shared" si="3"/>
        <v>2.6601725599999999</v>
      </c>
    </row>
    <row r="73" spans="1:6" x14ac:dyDescent="0.2">
      <c r="A73" s="66">
        <v>38596</v>
      </c>
      <c r="B73" s="69">
        <v>3.9622246840000002</v>
      </c>
      <c r="C73" s="69">
        <v>3.2</v>
      </c>
      <c r="D73" s="73">
        <v>3.5</v>
      </c>
      <c r="E73" s="75">
        <f t="shared" si="2"/>
        <v>2.9634008949999999</v>
      </c>
      <c r="F73" s="75">
        <f t="shared" si="3"/>
        <v>3.054786848</v>
      </c>
    </row>
    <row r="74" spans="1:6" x14ac:dyDescent="0.2">
      <c r="A74" s="66">
        <v>38626</v>
      </c>
      <c r="B74" s="69">
        <v>4.1531870550000001</v>
      </c>
      <c r="C74" s="69">
        <v>3.3</v>
      </c>
      <c r="D74" s="73">
        <v>4</v>
      </c>
      <c r="E74" s="75">
        <f t="shared" si="2"/>
        <v>3.9622246840000002</v>
      </c>
      <c r="F74" s="75">
        <f t="shared" si="3"/>
        <v>2.9634008949999999</v>
      </c>
    </row>
    <row r="75" spans="1:6" x14ac:dyDescent="0.2">
      <c r="A75" s="66">
        <v>38657</v>
      </c>
      <c r="B75" s="69">
        <v>3.6464189870000001</v>
      </c>
      <c r="C75" s="69">
        <v>3.1</v>
      </c>
      <c r="D75" s="73">
        <v>4</v>
      </c>
      <c r="E75" s="75">
        <f t="shared" si="2"/>
        <v>4.1531870550000001</v>
      </c>
      <c r="F75" s="75">
        <f t="shared" si="3"/>
        <v>3.9622246840000002</v>
      </c>
    </row>
    <row r="76" spans="1:6" x14ac:dyDescent="0.2">
      <c r="A76" s="66">
        <v>38687</v>
      </c>
      <c r="B76" s="69">
        <v>3.6665469439999998</v>
      </c>
      <c r="C76" s="69">
        <v>3</v>
      </c>
      <c r="D76" s="73">
        <v>4</v>
      </c>
      <c r="E76" s="75">
        <f t="shared" si="2"/>
        <v>3.6464189870000001</v>
      </c>
      <c r="F76" s="75">
        <f t="shared" si="3"/>
        <v>4.1531870550000001</v>
      </c>
    </row>
    <row r="77" spans="1:6" x14ac:dyDescent="0.2">
      <c r="A77" s="66">
        <v>38718</v>
      </c>
      <c r="B77" s="69">
        <v>4.0807329530000001</v>
      </c>
      <c r="C77" s="69">
        <v>3</v>
      </c>
      <c r="D77" s="73">
        <v>3.6</v>
      </c>
      <c r="E77" s="75">
        <f t="shared" si="2"/>
        <v>3.6665469439999998</v>
      </c>
      <c r="F77" s="75">
        <f t="shared" si="3"/>
        <v>3.6464189870000001</v>
      </c>
    </row>
    <row r="78" spans="1:6" x14ac:dyDescent="0.2">
      <c r="A78" s="66">
        <v>38749</v>
      </c>
      <c r="B78" s="69">
        <v>4.0783838100000001</v>
      </c>
      <c r="C78" s="69">
        <v>3.1</v>
      </c>
      <c r="D78" s="73">
        <v>3.8</v>
      </c>
      <c r="E78" s="75">
        <f t="shared" si="2"/>
        <v>4.0807329530000001</v>
      </c>
      <c r="F78" s="75">
        <f t="shared" si="3"/>
        <v>3.6665469439999998</v>
      </c>
    </row>
    <row r="79" spans="1:6" x14ac:dyDescent="0.2">
      <c r="A79" s="66">
        <v>38777</v>
      </c>
      <c r="B79" s="69">
        <v>4.0269411049999997</v>
      </c>
      <c r="C79" s="69">
        <v>3</v>
      </c>
      <c r="D79" s="73">
        <v>3.6</v>
      </c>
      <c r="E79" s="75">
        <f t="shared" si="2"/>
        <v>4.0783838100000001</v>
      </c>
      <c r="F79" s="75">
        <f t="shared" si="3"/>
        <v>4.0807329530000001</v>
      </c>
    </row>
    <row r="80" spans="1:6" x14ac:dyDescent="0.2">
      <c r="A80" s="66">
        <v>38808</v>
      </c>
      <c r="B80" s="69">
        <v>3.7684125129999999</v>
      </c>
      <c r="C80" s="69">
        <v>3</v>
      </c>
      <c r="D80" s="73">
        <v>3.8</v>
      </c>
      <c r="E80" s="75">
        <f t="shared" si="2"/>
        <v>4.0269411049999997</v>
      </c>
      <c r="F80" s="75">
        <f t="shared" si="3"/>
        <v>4.0783838100000001</v>
      </c>
    </row>
    <row r="81" spans="1:6" x14ac:dyDescent="0.2">
      <c r="A81" s="66">
        <v>38838</v>
      </c>
      <c r="B81" s="69">
        <v>3.7397829370000002</v>
      </c>
      <c r="C81" s="69">
        <v>3</v>
      </c>
      <c r="D81" s="73">
        <v>4</v>
      </c>
      <c r="E81" s="75">
        <f t="shared" si="2"/>
        <v>3.7684125129999999</v>
      </c>
      <c r="F81" s="75">
        <f t="shared" si="3"/>
        <v>4.0269411049999997</v>
      </c>
    </row>
    <row r="82" spans="1:6" x14ac:dyDescent="0.2">
      <c r="A82" s="66">
        <v>38869</v>
      </c>
      <c r="B82" s="69">
        <v>3.9252760109999998</v>
      </c>
      <c r="C82" s="69">
        <v>3</v>
      </c>
      <c r="D82" s="73">
        <v>3.8</v>
      </c>
      <c r="E82" s="75">
        <f t="shared" si="2"/>
        <v>3.7397829370000002</v>
      </c>
      <c r="F82" s="75">
        <f t="shared" si="3"/>
        <v>3.7684125129999999</v>
      </c>
    </row>
    <row r="83" spans="1:6" x14ac:dyDescent="0.2">
      <c r="A83" s="66">
        <v>38899</v>
      </c>
      <c r="B83" s="69">
        <v>3.8545605049999998</v>
      </c>
      <c r="C83" s="69">
        <v>3</v>
      </c>
      <c r="D83" s="73">
        <v>4</v>
      </c>
      <c r="E83" s="75">
        <f t="shared" si="2"/>
        <v>3.9252760109999998</v>
      </c>
      <c r="F83" s="75">
        <f t="shared" si="3"/>
        <v>3.7397829370000002</v>
      </c>
    </row>
    <row r="84" spans="1:6" x14ac:dyDescent="0.2">
      <c r="A84" s="66">
        <v>38930</v>
      </c>
      <c r="B84" s="69">
        <v>3.8143141109999998</v>
      </c>
      <c r="C84" s="69">
        <v>3.2</v>
      </c>
      <c r="D84" s="73">
        <v>4</v>
      </c>
      <c r="E84" s="75">
        <f t="shared" si="2"/>
        <v>3.8545605049999998</v>
      </c>
      <c r="F84" s="75">
        <f t="shared" si="3"/>
        <v>3.9252760109999998</v>
      </c>
    </row>
    <row r="85" spans="1:6" x14ac:dyDescent="0.2">
      <c r="A85" s="66">
        <v>38961</v>
      </c>
      <c r="B85" s="69">
        <v>2.777980136</v>
      </c>
      <c r="C85" s="69">
        <v>3</v>
      </c>
      <c r="D85" s="73">
        <v>4</v>
      </c>
      <c r="E85" s="75">
        <f t="shared" si="2"/>
        <v>3.8143141109999998</v>
      </c>
      <c r="F85" s="75">
        <f t="shared" si="3"/>
        <v>3.8545605049999998</v>
      </c>
    </row>
    <row r="86" spans="1:6" x14ac:dyDescent="0.2">
      <c r="A86" s="66">
        <v>38991</v>
      </c>
      <c r="B86" s="69">
        <v>2.0248900779999999</v>
      </c>
      <c r="C86" s="69">
        <v>2.7</v>
      </c>
      <c r="D86" s="73">
        <v>3.5</v>
      </c>
      <c r="E86" s="75">
        <f t="shared" si="2"/>
        <v>2.777980136</v>
      </c>
      <c r="F86" s="75">
        <f t="shared" si="3"/>
        <v>3.8143141109999998</v>
      </c>
    </row>
    <row r="87" spans="1:6" x14ac:dyDescent="0.2">
      <c r="A87" s="66">
        <v>39022</v>
      </c>
      <c r="B87" s="69">
        <v>2.092317521</v>
      </c>
      <c r="C87" s="69">
        <v>2.9</v>
      </c>
      <c r="D87" s="73">
        <v>3.5</v>
      </c>
      <c r="E87" s="75">
        <f t="shared" si="2"/>
        <v>2.0248900779999999</v>
      </c>
      <c r="F87" s="75">
        <f t="shared" si="3"/>
        <v>2.777980136</v>
      </c>
    </row>
    <row r="88" spans="1:6" x14ac:dyDescent="0.2">
      <c r="A88" s="66">
        <v>39052</v>
      </c>
      <c r="B88" s="69">
        <v>2.556428226</v>
      </c>
      <c r="C88" s="69">
        <v>2.9</v>
      </c>
      <c r="D88" s="73">
        <v>3.2</v>
      </c>
      <c r="E88" s="75">
        <f t="shared" si="2"/>
        <v>2.092317521</v>
      </c>
      <c r="F88" s="75">
        <f t="shared" si="3"/>
        <v>2.0248900779999999</v>
      </c>
    </row>
    <row r="89" spans="1:6" x14ac:dyDescent="0.2">
      <c r="A89" s="66">
        <v>39083</v>
      </c>
      <c r="B89" s="69">
        <v>2.7884722169999998</v>
      </c>
      <c r="C89" s="69">
        <v>3</v>
      </c>
      <c r="D89" s="73">
        <v>3</v>
      </c>
      <c r="E89" s="75">
        <f t="shared" si="2"/>
        <v>2.556428226</v>
      </c>
      <c r="F89" s="75">
        <f t="shared" si="3"/>
        <v>2.092317521</v>
      </c>
    </row>
    <row r="90" spans="1:6" x14ac:dyDescent="0.2">
      <c r="A90" s="66">
        <v>39114</v>
      </c>
      <c r="B90" s="69">
        <v>2.7040595700000001</v>
      </c>
      <c r="C90" s="69">
        <v>2.7</v>
      </c>
      <c r="D90" s="73">
        <v>3</v>
      </c>
      <c r="E90" s="75">
        <f t="shared" si="2"/>
        <v>2.7884722169999998</v>
      </c>
      <c r="F90" s="75">
        <f t="shared" si="3"/>
        <v>2.556428226</v>
      </c>
    </row>
    <row r="91" spans="1:6" x14ac:dyDescent="0.2">
      <c r="A91" s="66">
        <v>39142</v>
      </c>
      <c r="B91" s="69">
        <v>2.5425371459999999</v>
      </c>
      <c r="C91" s="69">
        <v>2.8</v>
      </c>
      <c r="D91" s="73">
        <v>3</v>
      </c>
      <c r="E91" s="75">
        <f t="shared" si="2"/>
        <v>2.7040595700000001</v>
      </c>
      <c r="F91" s="75">
        <f t="shared" si="3"/>
        <v>2.7884722169999998</v>
      </c>
    </row>
    <row r="92" spans="1:6" x14ac:dyDescent="0.2">
      <c r="A92" s="66">
        <v>39173</v>
      </c>
      <c r="B92" s="69">
        <v>2.4706647930000001</v>
      </c>
      <c r="C92" s="69">
        <v>2.9</v>
      </c>
      <c r="D92" s="73">
        <v>3</v>
      </c>
      <c r="E92" s="75">
        <f t="shared" si="2"/>
        <v>2.5425371459999999</v>
      </c>
      <c r="F92" s="75">
        <f t="shared" si="3"/>
        <v>2.7040595700000001</v>
      </c>
    </row>
    <row r="93" spans="1:6" x14ac:dyDescent="0.2">
      <c r="A93" s="66">
        <v>39203</v>
      </c>
      <c r="B93" s="69">
        <v>2.8586256259999998</v>
      </c>
      <c r="C93" s="69">
        <v>3</v>
      </c>
      <c r="D93" s="73">
        <v>3</v>
      </c>
      <c r="E93" s="75">
        <f t="shared" si="2"/>
        <v>2.4706647930000001</v>
      </c>
      <c r="F93" s="75">
        <f t="shared" si="3"/>
        <v>2.5425371459999999</v>
      </c>
    </row>
    <row r="94" spans="1:6" x14ac:dyDescent="0.2">
      <c r="A94" s="66">
        <v>39234</v>
      </c>
      <c r="B94" s="69">
        <v>3.214180008</v>
      </c>
      <c r="C94" s="69">
        <v>3</v>
      </c>
      <c r="D94" s="73">
        <v>3.1</v>
      </c>
      <c r="E94" s="75">
        <f t="shared" si="2"/>
        <v>2.8586256259999998</v>
      </c>
      <c r="F94" s="75">
        <f t="shared" si="3"/>
        <v>2.4706647930000001</v>
      </c>
    </row>
    <row r="95" spans="1:6" x14ac:dyDescent="0.2">
      <c r="A95" s="66">
        <v>39264</v>
      </c>
      <c r="B95" s="69">
        <v>3.8032176610000001</v>
      </c>
      <c r="C95" s="69">
        <v>3.2</v>
      </c>
      <c r="D95" s="73">
        <v>4</v>
      </c>
      <c r="E95" s="75">
        <f t="shared" si="2"/>
        <v>3.214180008</v>
      </c>
      <c r="F95" s="75">
        <f t="shared" si="3"/>
        <v>2.8586256259999998</v>
      </c>
    </row>
    <row r="96" spans="1:6" x14ac:dyDescent="0.2">
      <c r="A96" s="66">
        <v>39295</v>
      </c>
      <c r="B96" s="69">
        <v>4.6464361639999998</v>
      </c>
      <c r="C96" s="69">
        <v>3.5</v>
      </c>
      <c r="D96" s="73">
        <v>4.5</v>
      </c>
      <c r="E96" s="75">
        <f t="shared" si="2"/>
        <v>3.8032176610000001</v>
      </c>
      <c r="F96" s="75">
        <f t="shared" si="3"/>
        <v>3.214180008</v>
      </c>
    </row>
    <row r="97" spans="1:6" x14ac:dyDescent="0.2">
      <c r="A97" s="66">
        <v>39326</v>
      </c>
      <c r="B97" s="69">
        <v>5.7976560609999996</v>
      </c>
      <c r="C97" s="69">
        <v>3.5</v>
      </c>
      <c r="D97" s="73">
        <v>4.5</v>
      </c>
      <c r="E97" s="75">
        <f t="shared" si="2"/>
        <v>4.6464361639999998</v>
      </c>
      <c r="F97" s="75">
        <f t="shared" si="3"/>
        <v>3.8032176610000001</v>
      </c>
    </row>
    <row r="98" spans="1:6" x14ac:dyDescent="0.2">
      <c r="A98" s="66">
        <v>39356</v>
      </c>
      <c r="B98" s="69">
        <v>6.3979663789999996</v>
      </c>
      <c r="C98" s="69">
        <v>3.5</v>
      </c>
      <c r="D98" s="73">
        <v>5.4</v>
      </c>
      <c r="E98" s="75">
        <f t="shared" si="2"/>
        <v>5.7976560609999996</v>
      </c>
      <c r="F98" s="75">
        <f t="shared" si="3"/>
        <v>4.6464361639999998</v>
      </c>
    </row>
    <row r="99" spans="1:6" x14ac:dyDescent="0.2">
      <c r="A99" s="66">
        <v>39387</v>
      </c>
      <c r="B99" s="69">
        <v>7.3925627629999999</v>
      </c>
      <c r="C99" s="69">
        <v>3.5</v>
      </c>
      <c r="D99" s="73">
        <v>5</v>
      </c>
      <c r="E99" s="75">
        <f t="shared" si="2"/>
        <v>6.3979663789999996</v>
      </c>
      <c r="F99" s="75">
        <f t="shared" si="3"/>
        <v>5.7976560609999996</v>
      </c>
    </row>
    <row r="100" spans="1:6" x14ac:dyDescent="0.2">
      <c r="A100" s="66">
        <v>39417</v>
      </c>
      <c r="B100" s="69">
        <v>7.7843373859999998</v>
      </c>
      <c r="C100" s="69">
        <v>3.6</v>
      </c>
      <c r="D100" s="73">
        <v>5</v>
      </c>
      <c r="E100" s="75">
        <f t="shared" si="2"/>
        <v>7.3925627629999999</v>
      </c>
      <c r="F100" s="75">
        <f t="shared" si="3"/>
        <v>6.3979663789999996</v>
      </c>
    </row>
    <row r="101" spans="1:6" x14ac:dyDescent="0.2">
      <c r="A101" s="66">
        <v>39448</v>
      </c>
      <c r="B101" s="69">
        <v>7.4200738729999998</v>
      </c>
      <c r="C101" s="69">
        <v>4</v>
      </c>
      <c r="D101" s="73">
        <v>5</v>
      </c>
      <c r="E101" s="75">
        <f t="shared" si="2"/>
        <v>7.7843373859999998</v>
      </c>
      <c r="F101" s="75">
        <f t="shared" si="3"/>
        <v>7.3925627629999999</v>
      </c>
    </row>
    <row r="102" spans="1:6" x14ac:dyDescent="0.2">
      <c r="A102" s="66">
        <v>39479</v>
      </c>
      <c r="B102" s="69">
        <v>8.03343366</v>
      </c>
      <c r="C102" s="69">
        <v>3.7</v>
      </c>
      <c r="D102" s="73">
        <v>5</v>
      </c>
      <c r="E102" s="75">
        <f t="shared" si="2"/>
        <v>7.4200738729999998</v>
      </c>
      <c r="F102" s="75">
        <f t="shared" si="3"/>
        <v>7.7843373859999998</v>
      </c>
    </row>
    <row r="103" spans="1:6" x14ac:dyDescent="0.2">
      <c r="A103" s="66">
        <v>39508</v>
      </c>
      <c r="B103" s="69">
        <v>8.4612113109999996</v>
      </c>
      <c r="C103" s="69">
        <v>4.2</v>
      </c>
      <c r="D103" s="73">
        <v>5</v>
      </c>
      <c r="E103" s="75">
        <f t="shared" si="2"/>
        <v>8.03343366</v>
      </c>
      <c r="F103" s="75">
        <f t="shared" si="3"/>
        <v>7.4200738729999998</v>
      </c>
    </row>
    <row r="104" spans="1:6" x14ac:dyDescent="0.2">
      <c r="A104" s="66">
        <v>39539</v>
      </c>
      <c r="B104" s="69">
        <v>8.2268959259999992</v>
      </c>
      <c r="C104" s="69">
        <v>4</v>
      </c>
      <c r="D104" s="73">
        <v>5.5</v>
      </c>
      <c r="E104" s="75">
        <f t="shared" si="2"/>
        <v>8.4612113109999996</v>
      </c>
      <c r="F104" s="75">
        <f t="shared" si="3"/>
        <v>8.03343366</v>
      </c>
    </row>
    <row r="105" spans="1:6" x14ac:dyDescent="0.2">
      <c r="A105" s="66">
        <v>39569</v>
      </c>
      <c r="B105" s="69">
        <v>8.8009948340000008</v>
      </c>
      <c r="C105" s="69">
        <v>4.0999999999999996</v>
      </c>
      <c r="D105" s="73">
        <v>5.5</v>
      </c>
      <c r="E105" s="75">
        <f t="shared" si="2"/>
        <v>8.2268959259999992</v>
      </c>
      <c r="F105" s="75">
        <f t="shared" si="3"/>
        <v>8.4612113109999996</v>
      </c>
    </row>
    <row r="106" spans="1:6" x14ac:dyDescent="0.2">
      <c r="A106" s="66">
        <v>39600</v>
      </c>
      <c r="B106" s="69">
        <v>9.3936388669999999</v>
      </c>
      <c r="C106" s="69">
        <v>4.5</v>
      </c>
      <c r="D106" s="73">
        <v>6</v>
      </c>
      <c r="E106" s="75">
        <f t="shared" si="2"/>
        <v>8.8009948340000008</v>
      </c>
      <c r="F106" s="75">
        <f t="shared" si="3"/>
        <v>8.2268959259999992</v>
      </c>
    </row>
    <row r="107" spans="1:6" x14ac:dyDescent="0.2">
      <c r="A107" s="66">
        <v>39630</v>
      </c>
      <c r="B107" s="69">
        <v>9.4053779889999998</v>
      </c>
      <c r="C107" s="69">
        <v>5.5</v>
      </c>
      <c r="D107" s="73">
        <v>8</v>
      </c>
      <c r="E107" s="75">
        <f t="shared" si="2"/>
        <v>9.3936388669999999</v>
      </c>
      <c r="F107" s="75">
        <f t="shared" si="3"/>
        <v>8.8009948340000008</v>
      </c>
    </row>
    <row r="108" spans="1:6" x14ac:dyDescent="0.2">
      <c r="A108" s="66">
        <v>39661</v>
      </c>
      <c r="B108" s="69">
        <v>9.2590827079999993</v>
      </c>
      <c r="C108" s="69">
        <v>5.5</v>
      </c>
      <c r="D108" s="73">
        <v>8</v>
      </c>
      <c r="E108" s="75">
        <f t="shared" si="2"/>
        <v>9.4053779889999998</v>
      </c>
      <c r="F108" s="75">
        <f t="shared" si="3"/>
        <v>9.3936388669999999</v>
      </c>
    </row>
    <row r="109" spans="1:6" x14ac:dyDescent="0.2">
      <c r="A109" s="66">
        <v>39692</v>
      </c>
      <c r="B109" s="69">
        <v>9.1967281619999994</v>
      </c>
      <c r="C109" s="69">
        <v>6</v>
      </c>
      <c r="D109" s="73">
        <v>8</v>
      </c>
      <c r="E109" s="75">
        <f t="shared" si="2"/>
        <v>9.2590827079999993</v>
      </c>
      <c r="F109" s="75">
        <f t="shared" si="3"/>
        <v>9.4053779889999998</v>
      </c>
    </row>
    <row r="110" spans="1:6" x14ac:dyDescent="0.2">
      <c r="A110" s="66">
        <v>39722</v>
      </c>
      <c r="B110" s="69">
        <v>9.8281145530000007</v>
      </c>
      <c r="C110" s="69">
        <v>5.3</v>
      </c>
      <c r="D110" s="73">
        <v>8</v>
      </c>
      <c r="E110" s="75">
        <f t="shared" si="2"/>
        <v>9.1967281619999994</v>
      </c>
      <c r="F110" s="75">
        <f t="shared" si="3"/>
        <v>9.2590827079999993</v>
      </c>
    </row>
    <row r="111" spans="1:6" x14ac:dyDescent="0.2">
      <c r="A111" s="66">
        <v>39753</v>
      </c>
      <c r="B111" s="69">
        <v>8.8670501179999999</v>
      </c>
      <c r="C111" s="69">
        <v>4.5999999999999996</v>
      </c>
      <c r="D111" s="73">
        <v>7.45</v>
      </c>
      <c r="E111" s="75">
        <f t="shared" si="2"/>
        <v>9.8281145530000007</v>
      </c>
      <c r="F111" s="75">
        <f t="shared" si="3"/>
        <v>9.1967281619999994</v>
      </c>
    </row>
    <row r="112" spans="1:6" x14ac:dyDescent="0.2">
      <c r="A112" s="66">
        <v>39783</v>
      </c>
      <c r="B112" s="69">
        <v>7.0916860970000002</v>
      </c>
      <c r="C112" s="69">
        <v>3.6</v>
      </c>
      <c r="D112" s="73">
        <v>6</v>
      </c>
      <c r="E112" s="75">
        <f t="shared" si="2"/>
        <v>8.8670501179999999</v>
      </c>
      <c r="F112" s="75">
        <f t="shared" si="3"/>
        <v>9.8281145530000007</v>
      </c>
    </row>
    <row r="113" spans="1:6" x14ac:dyDescent="0.2">
      <c r="A113" s="66">
        <v>39814</v>
      </c>
      <c r="B113" s="69">
        <v>6.3061582280000001</v>
      </c>
      <c r="C113" s="69">
        <v>3.5</v>
      </c>
      <c r="D113" s="73">
        <v>4.5</v>
      </c>
      <c r="E113" s="75">
        <f t="shared" si="2"/>
        <v>7.0916860970000002</v>
      </c>
      <c r="F113" s="75">
        <f t="shared" si="3"/>
        <v>8.8670501179999999</v>
      </c>
    </row>
    <row r="114" spans="1:6" x14ac:dyDescent="0.2">
      <c r="A114" s="66">
        <v>39845</v>
      </c>
      <c r="B114" s="69">
        <v>4.5138215119999998</v>
      </c>
      <c r="C114" s="69">
        <v>3</v>
      </c>
      <c r="D114" s="73">
        <v>4</v>
      </c>
      <c r="E114" s="75">
        <f t="shared" si="2"/>
        <v>6.3061582280000001</v>
      </c>
      <c r="F114" s="75">
        <f t="shared" si="3"/>
        <v>7.0916860970000002</v>
      </c>
    </row>
    <row r="115" spans="1:6" x14ac:dyDescent="0.2">
      <c r="A115" s="66">
        <v>39873</v>
      </c>
      <c r="B115" s="69">
        <v>3.6988424229999999</v>
      </c>
      <c r="C115" s="69">
        <v>2.9</v>
      </c>
      <c r="D115" s="73">
        <v>3</v>
      </c>
      <c r="E115" s="75">
        <f t="shared" si="2"/>
        <v>4.5138215119999998</v>
      </c>
      <c r="F115" s="75">
        <f t="shared" si="3"/>
        <v>6.3061582280000001</v>
      </c>
    </row>
    <row r="116" spans="1:6" x14ac:dyDescent="0.2">
      <c r="A116" s="66">
        <v>39904</v>
      </c>
      <c r="B116" s="69">
        <v>3.1681581699999999</v>
      </c>
      <c r="C116" s="69">
        <v>2.5</v>
      </c>
      <c r="D116" s="73">
        <v>3.2</v>
      </c>
      <c r="E116" s="75">
        <f t="shared" si="2"/>
        <v>3.6988424229999999</v>
      </c>
      <c r="F116" s="75">
        <f t="shared" si="3"/>
        <v>4.5138215119999998</v>
      </c>
    </row>
    <row r="117" spans="1:6" x14ac:dyDescent="0.2">
      <c r="A117" s="66">
        <v>39934</v>
      </c>
      <c r="B117" s="69">
        <v>1.771404867</v>
      </c>
      <c r="C117" s="69">
        <v>2.5</v>
      </c>
      <c r="D117" s="73">
        <v>3</v>
      </c>
      <c r="E117" s="75">
        <f t="shared" si="2"/>
        <v>3.1681581699999999</v>
      </c>
      <c r="F117" s="75">
        <f t="shared" si="3"/>
        <v>3.6988424229999999</v>
      </c>
    </row>
    <row r="118" spans="1:6" x14ac:dyDescent="0.2">
      <c r="A118" s="66">
        <v>39965</v>
      </c>
      <c r="B118" s="69">
        <v>0.61782345000000005</v>
      </c>
      <c r="C118" s="69">
        <v>2.2000000000000002</v>
      </c>
      <c r="D118" s="73">
        <v>2.5</v>
      </c>
      <c r="E118" s="75">
        <f t="shared" si="2"/>
        <v>1.771404867</v>
      </c>
      <c r="F118" s="75">
        <f t="shared" si="3"/>
        <v>3.1681581699999999</v>
      </c>
    </row>
    <row r="119" spans="1:6" x14ac:dyDescent="0.2">
      <c r="A119" s="66">
        <v>39995</v>
      </c>
      <c r="B119" s="69">
        <v>-0.93582844600000004</v>
      </c>
      <c r="C119" s="69">
        <v>2.1</v>
      </c>
      <c r="D119" s="73">
        <v>2.2000000000000002</v>
      </c>
      <c r="E119" s="75">
        <f t="shared" si="2"/>
        <v>0.61782345000000005</v>
      </c>
      <c r="F119" s="75">
        <f t="shared" si="3"/>
        <v>1.771404867</v>
      </c>
    </row>
    <row r="120" spans="1:6" x14ac:dyDescent="0.2">
      <c r="A120" s="66">
        <v>40026</v>
      </c>
      <c r="B120" s="69">
        <v>-2.3027698120000002</v>
      </c>
      <c r="C120" s="69">
        <v>2</v>
      </c>
      <c r="D120" s="73">
        <v>2</v>
      </c>
      <c r="E120" s="75">
        <f t="shared" si="2"/>
        <v>-0.93582844600000004</v>
      </c>
      <c r="F120" s="75">
        <f t="shared" si="3"/>
        <v>0.61782345000000005</v>
      </c>
    </row>
    <row r="121" spans="1:6" x14ac:dyDescent="0.2">
      <c r="A121" s="66">
        <v>40057</v>
      </c>
      <c r="B121" s="69">
        <v>-2.230925048</v>
      </c>
      <c r="C121" s="69">
        <v>2.1</v>
      </c>
      <c r="D121" s="73">
        <v>2</v>
      </c>
      <c r="E121" s="75">
        <f t="shared" si="2"/>
        <v>-2.3027698120000002</v>
      </c>
      <c r="F121" s="75">
        <f t="shared" si="3"/>
        <v>-0.93582844600000004</v>
      </c>
    </row>
    <row r="122" spans="1:6" x14ac:dyDescent="0.2">
      <c r="A122" s="66">
        <v>40087</v>
      </c>
      <c r="B122" s="69">
        <v>-3.094779135</v>
      </c>
      <c r="C122" s="69">
        <v>2.2999999999999998</v>
      </c>
      <c r="D122" s="73">
        <v>2.5</v>
      </c>
      <c r="E122" s="75">
        <f t="shared" si="2"/>
        <v>-2.230925048</v>
      </c>
      <c r="F122" s="75">
        <f t="shared" si="3"/>
        <v>-2.3027698120000002</v>
      </c>
    </row>
    <row r="123" spans="1:6" x14ac:dyDescent="0.2">
      <c r="A123" s="66">
        <v>40118</v>
      </c>
      <c r="B123" s="69">
        <v>-3.359957536</v>
      </c>
      <c r="C123" s="69">
        <v>2.2999999999999998</v>
      </c>
      <c r="D123" s="73">
        <v>2.5</v>
      </c>
      <c r="E123" s="75">
        <f t="shared" si="2"/>
        <v>-3.094779135</v>
      </c>
      <c r="F123" s="75">
        <f t="shared" si="3"/>
        <v>-2.230925048</v>
      </c>
    </row>
    <row r="124" spans="1:6" x14ac:dyDescent="0.2">
      <c r="A124" s="66">
        <v>40148</v>
      </c>
      <c r="B124" s="69">
        <v>-2.5780536430000001</v>
      </c>
      <c r="C124" s="69">
        <v>2.2999999999999998</v>
      </c>
      <c r="D124" s="73">
        <v>2.5</v>
      </c>
      <c r="E124" s="75">
        <f t="shared" si="2"/>
        <v>-3.359957536</v>
      </c>
      <c r="F124" s="75">
        <f t="shared" si="3"/>
        <v>-3.094779135</v>
      </c>
    </row>
    <row r="125" spans="1:6" x14ac:dyDescent="0.2">
      <c r="A125" s="66">
        <v>40179</v>
      </c>
      <c r="B125" s="69">
        <v>-1.3205882280000001</v>
      </c>
      <c r="C125" s="69">
        <v>2.5</v>
      </c>
      <c r="D125" s="73">
        <v>2.5</v>
      </c>
      <c r="E125" s="75">
        <f t="shared" si="2"/>
        <v>-2.5780536430000001</v>
      </c>
      <c r="F125" s="75">
        <f t="shared" si="3"/>
        <v>-3.359957536</v>
      </c>
    </row>
    <row r="126" spans="1:6" x14ac:dyDescent="0.2">
      <c r="A126" s="66">
        <v>40210</v>
      </c>
      <c r="B126" s="69">
        <v>0.25867081800000002</v>
      </c>
      <c r="C126" s="69">
        <v>2.6</v>
      </c>
      <c r="D126" s="73">
        <v>2.8</v>
      </c>
      <c r="E126" s="75">
        <f t="shared" si="2"/>
        <v>-1.3205882280000001</v>
      </c>
      <c r="F126" s="75">
        <f t="shared" si="3"/>
        <v>-2.5780536430000001</v>
      </c>
    </row>
    <row r="127" spans="1:6" x14ac:dyDescent="0.2">
      <c r="A127" s="66">
        <v>40238</v>
      </c>
      <c r="B127" s="69">
        <v>0.30346839199999998</v>
      </c>
      <c r="C127" s="69">
        <v>3.2</v>
      </c>
      <c r="D127" s="73">
        <v>3.5</v>
      </c>
      <c r="E127" s="75">
        <f t="shared" si="2"/>
        <v>0.25867081800000002</v>
      </c>
      <c r="F127" s="75">
        <f t="shared" si="3"/>
        <v>-1.3205882280000001</v>
      </c>
    </row>
    <row r="128" spans="1:6" x14ac:dyDescent="0.2">
      <c r="A128" s="66">
        <v>40269</v>
      </c>
      <c r="B128" s="69">
        <v>0.92254294199999998</v>
      </c>
      <c r="C128" s="69">
        <v>3.4</v>
      </c>
      <c r="D128" s="73">
        <v>3.5</v>
      </c>
      <c r="E128" s="75">
        <f t="shared" si="2"/>
        <v>0.30346839199999998</v>
      </c>
      <c r="F128" s="75">
        <f t="shared" si="3"/>
        <v>0.25867081800000002</v>
      </c>
    </row>
    <row r="129" spans="1:6" x14ac:dyDescent="0.2">
      <c r="A129" s="66">
        <v>40299</v>
      </c>
      <c r="B129" s="69">
        <v>1.5030383329999999</v>
      </c>
      <c r="C129" s="69">
        <v>3.2</v>
      </c>
      <c r="D129" s="73">
        <v>3.5</v>
      </c>
      <c r="E129" s="75">
        <f t="shared" si="2"/>
        <v>0.92254294199999998</v>
      </c>
      <c r="F129" s="75">
        <f t="shared" si="3"/>
        <v>0.30346839199999998</v>
      </c>
    </row>
    <row r="130" spans="1:6" x14ac:dyDescent="0.2">
      <c r="A130" s="66">
        <v>40330</v>
      </c>
      <c r="B130" s="69">
        <v>1.163940432</v>
      </c>
      <c r="C130" s="69">
        <v>3.4</v>
      </c>
      <c r="D130" s="73">
        <v>3.5</v>
      </c>
      <c r="E130" s="75">
        <f t="shared" si="2"/>
        <v>1.5030383329999999</v>
      </c>
      <c r="F130" s="75">
        <f t="shared" si="3"/>
        <v>0.92254294199999998</v>
      </c>
    </row>
    <row r="131" spans="1:6" x14ac:dyDescent="0.2">
      <c r="A131" s="66">
        <v>40360</v>
      </c>
      <c r="B131" s="69">
        <v>2.2522962579999999</v>
      </c>
      <c r="C131" s="69">
        <v>3.25</v>
      </c>
      <c r="D131" s="73">
        <v>3.5</v>
      </c>
      <c r="E131" s="75">
        <f t="shared" si="2"/>
        <v>1.163940432</v>
      </c>
      <c r="F131" s="75">
        <f t="shared" si="3"/>
        <v>1.5030383329999999</v>
      </c>
    </row>
    <row r="132" spans="1:6" x14ac:dyDescent="0.2">
      <c r="A132" s="66">
        <v>40391</v>
      </c>
      <c r="B132" s="69">
        <v>2.6242533909999999</v>
      </c>
      <c r="C132" s="69">
        <v>3.45</v>
      </c>
      <c r="D132" s="73">
        <v>3.5</v>
      </c>
      <c r="E132" s="75">
        <f t="shared" si="2"/>
        <v>2.2522962579999999</v>
      </c>
      <c r="F132" s="75">
        <f t="shared" si="3"/>
        <v>1.163940432</v>
      </c>
    </row>
    <row r="133" spans="1:6" x14ac:dyDescent="0.2">
      <c r="A133" s="66">
        <v>40422</v>
      </c>
      <c r="B133" s="69">
        <v>1.876405257</v>
      </c>
      <c r="C133" s="69">
        <v>3.3</v>
      </c>
      <c r="D133" s="73">
        <v>3.5</v>
      </c>
      <c r="E133" s="75">
        <f t="shared" ref="E133:E196" si="4">B132</f>
        <v>2.6242533909999999</v>
      </c>
      <c r="F133" s="75">
        <f t="shared" si="3"/>
        <v>2.2522962579999999</v>
      </c>
    </row>
    <row r="134" spans="1:6" x14ac:dyDescent="0.2">
      <c r="A134" s="66">
        <v>40452</v>
      </c>
      <c r="B134" s="69">
        <v>1.9839690329999999</v>
      </c>
      <c r="C134" s="69">
        <v>3.1</v>
      </c>
      <c r="D134" s="73">
        <v>3.5</v>
      </c>
      <c r="E134" s="75">
        <f t="shared" si="4"/>
        <v>1.876405257</v>
      </c>
      <c r="F134" s="75">
        <f t="shared" ref="F134:F197" si="5">E133</f>
        <v>2.6242533909999999</v>
      </c>
    </row>
    <row r="135" spans="1:6" x14ac:dyDescent="0.2">
      <c r="A135" s="66">
        <v>40483</v>
      </c>
      <c r="B135" s="69">
        <v>2.4613393860000001</v>
      </c>
      <c r="C135" s="69">
        <v>3.1</v>
      </c>
      <c r="D135" s="73">
        <v>3.3</v>
      </c>
      <c r="E135" s="75">
        <f t="shared" si="4"/>
        <v>1.9839690329999999</v>
      </c>
      <c r="F135" s="75">
        <f t="shared" si="5"/>
        <v>1.876405257</v>
      </c>
    </row>
    <row r="136" spans="1:6" x14ac:dyDescent="0.2">
      <c r="A136" s="66">
        <v>40513</v>
      </c>
      <c r="B136" s="69">
        <v>2.9728681109999999</v>
      </c>
      <c r="C136" s="69">
        <v>3.2</v>
      </c>
      <c r="D136" s="73">
        <v>3.2</v>
      </c>
      <c r="E136" s="75">
        <f t="shared" si="4"/>
        <v>2.4613393860000001</v>
      </c>
      <c r="F136" s="75">
        <f t="shared" si="5"/>
        <v>1.9839690329999999</v>
      </c>
    </row>
    <row r="137" spans="1:6" x14ac:dyDescent="0.2">
      <c r="A137" s="66">
        <v>40544</v>
      </c>
      <c r="B137" s="69">
        <v>2.7192676100000002</v>
      </c>
      <c r="C137" s="69">
        <v>3.55</v>
      </c>
      <c r="D137" s="73">
        <v>3.5</v>
      </c>
      <c r="E137" s="75">
        <f t="shared" si="4"/>
        <v>2.9728681109999999</v>
      </c>
      <c r="F137" s="75">
        <f t="shared" si="5"/>
        <v>2.4613393860000001</v>
      </c>
    </row>
    <row r="138" spans="1:6" x14ac:dyDescent="0.2">
      <c r="A138" s="66">
        <v>40575</v>
      </c>
      <c r="B138" s="69">
        <v>2.667120057</v>
      </c>
      <c r="C138" s="69">
        <v>3.8</v>
      </c>
      <c r="D138" s="73">
        <v>3.7</v>
      </c>
      <c r="E138" s="75">
        <f t="shared" si="4"/>
        <v>2.7192676100000002</v>
      </c>
      <c r="F138" s="75">
        <f t="shared" si="5"/>
        <v>2.9728681109999999</v>
      </c>
    </row>
    <row r="139" spans="1:6" x14ac:dyDescent="0.2">
      <c r="A139" s="66">
        <v>40603</v>
      </c>
      <c r="B139" s="69">
        <v>3.3652925260000002</v>
      </c>
      <c r="C139" s="69">
        <v>4.0449999999999999</v>
      </c>
      <c r="D139" s="73">
        <v>4.05</v>
      </c>
      <c r="E139" s="75">
        <f t="shared" si="4"/>
        <v>2.667120057</v>
      </c>
      <c r="F139" s="75">
        <f t="shared" si="5"/>
        <v>2.7192676100000002</v>
      </c>
    </row>
    <row r="140" spans="1:6" x14ac:dyDescent="0.2">
      <c r="A140" s="66">
        <v>40634</v>
      </c>
      <c r="B140" s="69">
        <v>3.217910593</v>
      </c>
      <c r="C140" s="69">
        <v>4</v>
      </c>
      <c r="D140" s="73">
        <v>4</v>
      </c>
      <c r="E140" s="75">
        <f t="shared" si="4"/>
        <v>3.3652925260000002</v>
      </c>
      <c r="F140" s="75">
        <f t="shared" si="5"/>
        <v>2.667120057</v>
      </c>
    </row>
    <row r="141" spans="1:6" x14ac:dyDescent="0.2">
      <c r="A141" s="66">
        <v>40664</v>
      </c>
      <c r="B141" s="69">
        <v>3.2590621999999998</v>
      </c>
      <c r="C141" s="69">
        <v>4</v>
      </c>
      <c r="D141" s="73">
        <v>4</v>
      </c>
      <c r="E141" s="75">
        <f t="shared" si="4"/>
        <v>3.217910593</v>
      </c>
      <c r="F141" s="75">
        <f t="shared" si="5"/>
        <v>3.3652925260000002</v>
      </c>
    </row>
    <row r="142" spans="1:6" x14ac:dyDescent="0.2">
      <c r="A142" s="66">
        <v>40695</v>
      </c>
      <c r="B142" s="69">
        <v>3.4339216459999999</v>
      </c>
      <c r="C142" s="69">
        <v>3.7</v>
      </c>
      <c r="D142" s="73">
        <v>4</v>
      </c>
      <c r="E142" s="75">
        <f t="shared" si="4"/>
        <v>3.2590621999999998</v>
      </c>
      <c r="F142" s="75">
        <f t="shared" si="5"/>
        <v>3.217910593</v>
      </c>
    </row>
    <row r="143" spans="1:6" x14ac:dyDescent="0.2">
      <c r="A143" s="66">
        <v>40725</v>
      </c>
      <c r="B143" s="69">
        <v>2.9041992429999999</v>
      </c>
      <c r="C143" s="69">
        <v>3.5</v>
      </c>
      <c r="D143" s="73">
        <v>4</v>
      </c>
      <c r="E143" s="75">
        <f t="shared" si="4"/>
        <v>3.4339216459999999</v>
      </c>
      <c r="F143" s="75">
        <f t="shared" si="5"/>
        <v>3.2590621999999998</v>
      </c>
    </row>
    <row r="144" spans="1:6" x14ac:dyDescent="0.2">
      <c r="A144" s="66">
        <v>40756</v>
      </c>
      <c r="B144" s="69">
        <v>3.1724843069999999</v>
      </c>
      <c r="C144" s="69">
        <v>3.2</v>
      </c>
      <c r="D144" s="73">
        <v>4</v>
      </c>
      <c r="E144" s="75">
        <f t="shared" si="4"/>
        <v>2.9041992429999999</v>
      </c>
      <c r="F144" s="75">
        <f t="shared" si="5"/>
        <v>3.4339216459999999</v>
      </c>
    </row>
    <row r="145" spans="1:6" x14ac:dyDescent="0.2">
      <c r="A145" s="66">
        <v>40787</v>
      </c>
      <c r="B145" s="69">
        <v>3.272251786</v>
      </c>
      <c r="C145" s="69">
        <v>3</v>
      </c>
      <c r="D145" s="73">
        <v>3.5</v>
      </c>
      <c r="E145" s="75">
        <f t="shared" si="4"/>
        <v>3.1724843069999999</v>
      </c>
      <c r="F145" s="75">
        <f t="shared" si="5"/>
        <v>2.9041992429999999</v>
      </c>
    </row>
    <row r="146" spans="1:6" x14ac:dyDescent="0.2">
      <c r="A146" s="66">
        <v>40817</v>
      </c>
      <c r="B146" s="69">
        <v>3.6719000409999998</v>
      </c>
      <c r="C146" s="69">
        <v>3</v>
      </c>
      <c r="D146" s="73">
        <v>3.5</v>
      </c>
      <c r="E146" s="75">
        <f t="shared" si="4"/>
        <v>3.272251786</v>
      </c>
      <c r="F146" s="75">
        <f t="shared" si="5"/>
        <v>3.1724843069999999</v>
      </c>
    </row>
    <row r="147" spans="1:6" x14ac:dyDescent="0.2">
      <c r="A147" s="66">
        <v>40848</v>
      </c>
      <c r="B147" s="69">
        <v>3.9277117050000001</v>
      </c>
      <c r="C147" s="69">
        <v>3</v>
      </c>
      <c r="D147" s="73">
        <v>3.5</v>
      </c>
      <c r="E147" s="75">
        <f t="shared" si="4"/>
        <v>3.6719000409999998</v>
      </c>
      <c r="F147" s="75">
        <f t="shared" si="5"/>
        <v>3.272251786</v>
      </c>
    </row>
    <row r="148" spans="1:6" x14ac:dyDescent="0.2">
      <c r="A148" s="68">
        <v>40878</v>
      </c>
      <c r="B148" s="65">
        <v>4.4377327979999999</v>
      </c>
      <c r="C148" s="69">
        <f>B147</f>
        <v>3.9277117050000001</v>
      </c>
      <c r="D148" s="73">
        <v>3.6709876543209901</v>
      </c>
      <c r="E148" s="75">
        <f t="shared" si="4"/>
        <v>3.9277117050000001</v>
      </c>
      <c r="F148" s="75">
        <f t="shared" si="5"/>
        <v>3.6719000409999998</v>
      </c>
    </row>
    <row r="149" spans="1:6" x14ac:dyDescent="0.2">
      <c r="A149" s="66">
        <v>40909</v>
      </c>
      <c r="B149" s="16">
        <v>4.2474617290000003</v>
      </c>
      <c r="C149" s="16">
        <v>3</v>
      </c>
      <c r="D149" s="74">
        <v>3.8027210884353799</v>
      </c>
      <c r="E149" s="75">
        <f t="shared" si="4"/>
        <v>4.4377327979999999</v>
      </c>
      <c r="F149" s="75">
        <f t="shared" si="5"/>
        <v>3.9277117050000001</v>
      </c>
    </row>
    <row r="150" spans="1:6" x14ac:dyDescent="0.2">
      <c r="A150" s="66">
        <v>40940</v>
      </c>
      <c r="B150" s="16">
        <v>4.4121148809999999</v>
      </c>
      <c r="C150" s="16">
        <v>3</v>
      </c>
      <c r="D150" s="74">
        <v>3.7865497076023402</v>
      </c>
      <c r="E150" s="75">
        <f t="shared" si="4"/>
        <v>4.2474617290000003</v>
      </c>
      <c r="F150" s="75">
        <f t="shared" si="5"/>
        <v>4.4377327979999999</v>
      </c>
    </row>
    <row r="151" spans="1:6" x14ac:dyDescent="0.2">
      <c r="A151" s="66">
        <v>40969</v>
      </c>
      <c r="B151" s="16">
        <v>3.7888494170000002</v>
      </c>
      <c r="C151" s="16">
        <v>3.2</v>
      </c>
      <c r="D151" s="74">
        <v>3.875</v>
      </c>
      <c r="E151" s="75">
        <f t="shared" si="4"/>
        <v>4.4121148809999999</v>
      </c>
      <c r="F151" s="75">
        <f t="shared" si="5"/>
        <v>4.2474617290000003</v>
      </c>
    </row>
    <row r="152" spans="1:6" x14ac:dyDescent="0.2">
      <c r="A152" s="66">
        <v>41000</v>
      </c>
      <c r="B152" s="16">
        <v>3.5113179140000002</v>
      </c>
      <c r="C152" s="16">
        <v>3.3</v>
      </c>
      <c r="D152" s="74">
        <v>3.8891566265060198</v>
      </c>
      <c r="E152" s="75">
        <f t="shared" si="4"/>
        <v>3.7888494170000002</v>
      </c>
      <c r="F152" s="75">
        <f t="shared" si="5"/>
        <v>4.4121148809999999</v>
      </c>
    </row>
    <row r="153" spans="1:6" x14ac:dyDescent="0.2">
      <c r="A153" s="66">
        <v>41030</v>
      </c>
      <c r="B153" s="16">
        <v>3.1307115250000002</v>
      </c>
      <c r="C153" s="16">
        <v>3.3</v>
      </c>
      <c r="D153" s="74">
        <v>3.7082122905027899</v>
      </c>
      <c r="E153" s="75">
        <f t="shared" si="4"/>
        <v>3.5113179140000002</v>
      </c>
      <c r="F153" s="75">
        <f t="shared" si="5"/>
        <v>3.7888494170000002</v>
      </c>
    </row>
    <row r="154" spans="1:6" x14ac:dyDescent="0.2">
      <c r="A154" s="66">
        <v>41061</v>
      </c>
      <c r="B154" s="16">
        <v>2.65108839</v>
      </c>
      <c r="C154" s="16">
        <v>3</v>
      </c>
      <c r="D154" s="74">
        <v>3.5587096774193601</v>
      </c>
      <c r="E154" s="75">
        <f t="shared" si="4"/>
        <v>3.1307115250000002</v>
      </c>
      <c r="F154" s="75">
        <f t="shared" si="5"/>
        <v>3.5113179140000002</v>
      </c>
    </row>
    <row r="155" spans="1:6" x14ac:dyDescent="0.2">
      <c r="A155" s="66">
        <v>41091</v>
      </c>
      <c r="B155" s="16">
        <v>2.5074451139999998</v>
      </c>
      <c r="C155" s="16">
        <v>2.9</v>
      </c>
      <c r="D155" s="74">
        <v>3.2641509433962299</v>
      </c>
      <c r="E155" s="75">
        <f t="shared" si="4"/>
        <v>2.65108839</v>
      </c>
      <c r="F155" s="75">
        <f t="shared" si="5"/>
        <v>3.1307115250000002</v>
      </c>
    </row>
    <row r="156" spans="1:6" x14ac:dyDescent="0.2">
      <c r="A156" s="66">
        <v>41122</v>
      </c>
      <c r="B156" s="16">
        <v>2.5678298860000002</v>
      </c>
      <c r="C156" s="16">
        <v>2.9</v>
      </c>
      <c r="D156" s="74">
        <v>3.1270270270270299</v>
      </c>
      <c r="E156" s="75">
        <f t="shared" si="4"/>
        <v>2.5074451139999998</v>
      </c>
      <c r="F156" s="75">
        <f t="shared" si="5"/>
        <v>2.65108839</v>
      </c>
    </row>
    <row r="157" spans="1:6" x14ac:dyDescent="0.2">
      <c r="A157" s="66">
        <v>41153</v>
      </c>
      <c r="B157" s="16">
        <v>2.8449680590000002</v>
      </c>
      <c r="C157" s="16">
        <v>3</v>
      </c>
      <c r="D157" s="74">
        <v>3.1348993288590599</v>
      </c>
      <c r="E157" s="75">
        <f t="shared" si="4"/>
        <v>2.5678298860000002</v>
      </c>
      <c r="F157" s="75">
        <f t="shared" si="5"/>
        <v>2.5074451139999998</v>
      </c>
    </row>
    <row r="158" spans="1:6" x14ac:dyDescent="0.2">
      <c r="A158" s="66">
        <v>41183</v>
      </c>
      <c r="B158" s="16">
        <v>2.9199481629999999</v>
      </c>
      <c r="C158" s="16">
        <v>3</v>
      </c>
      <c r="D158" s="74">
        <v>3.2374999999999998</v>
      </c>
      <c r="E158" s="75">
        <f t="shared" si="4"/>
        <v>2.8449680590000002</v>
      </c>
      <c r="F158" s="75">
        <f t="shared" si="5"/>
        <v>2.5678298860000002</v>
      </c>
    </row>
    <row r="159" spans="1:6" x14ac:dyDescent="0.2">
      <c r="A159" s="66">
        <v>41214</v>
      </c>
      <c r="B159" s="16">
        <v>2.1323437709999999</v>
      </c>
      <c r="C159" s="16">
        <v>3</v>
      </c>
      <c r="D159" s="74">
        <v>3.2327380952381</v>
      </c>
      <c r="E159" s="75">
        <f t="shared" si="4"/>
        <v>2.9199481629999999</v>
      </c>
      <c r="F159" s="75">
        <f t="shared" si="5"/>
        <v>2.8449680590000002</v>
      </c>
    </row>
    <row r="160" spans="1:6" x14ac:dyDescent="0.2">
      <c r="A160" s="66">
        <v>41244</v>
      </c>
      <c r="B160" s="16">
        <v>1.486964626</v>
      </c>
      <c r="C160" s="16">
        <v>3</v>
      </c>
      <c r="D160" s="74">
        <v>3.10994152046784</v>
      </c>
      <c r="E160" s="75">
        <f t="shared" si="4"/>
        <v>2.1323437709999999</v>
      </c>
      <c r="F160" s="75">
        <f t="shared" si="5"/>
        <v>2.9199481629999999</v>
      </c>
    </row>
    <row r="161" spans="1:6" x14ac:dyDescent="0.2">
      <c r="A161" s="66">
        <v>41275</v>
      </c>
      <c r="B161" s="16">
        <v>1.577965321</v>
      </c>
      <c r="C161" s="16">
        <v>3</v>
      </c>
      <c r="D161" s="74">
        <v>3.0530487804878099</v>
      </c>
      <c r="E161" s="75">
        <f t="shared" si="4"/>
        <v>1.486964626</v>
      </c>
      <c r="F161" s="75">
        <f t="shared" si="5"/>
        <v>2.1323437709999999</v>
      </c>
    </row>
    <row r="162" spans="1:6" x14ac:dyDescent="0.2">
      <c r="A162" s="66">
        <v>41306</v>
      </c>
      <c r="B162" s="16">
        <v>1.3049116350000001</v>
      </c>
      <c r="C162" s="16">
        <v>3</v>
      </c>
      <c r="D162" s="74">
        <v>2.94965986394558</v>
      </c>
      <c r="E162" s="75">
        <f t="shared" si="4"/>
        <v>1.577965321</v>
      </c>
      <c r="F162" s="75">
        <f t="shared" si="5"/>
        <v>1.486964626</v>
      </c>
    </row>
    <row r="163" spans="1:6" x14ac:dyDescent="0.2">
      <c r="A163" s="66">
        <v>41334</v>
      </c>
      <c r="B163" s="16">
        <v>1.7035028329999999</v>
      </c>
      <c r="C163" s="16">
        <v>3</v>
      </c>
      <c r="D163" s="74">
        <v>3.04388489208633</v>
      </c>
      <c r="E163" s="75">
        <f t="shared" si="4"/>
        <v>1.3049116350000001</v>
      </c>
      <c r="F163" s="75">
        <f t="shared" si="5"/>
        <v>1.577965321</v>
      </c>
    </row>
    <row r="164" spans="1:6" x14ac:dyDescent="0.2">
      <c r="A164" s="66">
        <v>41365</v>
      </c>
      <c r="B164" s="16">
        <v>1.4727458950000001</v>
      </c>
      <c r="C164" s="16">
        <v>3</v>
      </c>
      <c r="D164" s="74">
        <v>3.0333333333333301</v>
      </c>
      <c r="E164" s="75">
        <f t="shared" si="4"/>
        <v>1.7035028329999999</v>
      </c>
      <c r="F164" s="75">
        <f t="shared" si="5"/>
        <v>1.3049116350000001</v>
      </c>
    </row>
    <row r="165" spans="1:6" x14ac:dyDescent="0.2">
      <c r="A165" s="66">
        <v>41395</v>
      </c>
      <c r="B165" s="16">
        <v>1.3881828919999999</v>
      </c>
      <c r="C165" s="16">
        <v>2.9</v>
      </c>
      <c r="D165" s="74">
        <v>2.9323529411764699</v>
      </c>
      <c r="E165" s="75">
        <f t="shared" si="4"/>
        <v>1.4727458950000001</v>
      </c>
      <c r="F165" s="75">
        <f t="shared" si="5"/>
        <v>1.7035028329999999</v>
      </c>
    </row>
    <row r="166" spans="1:6" x14ac:dyDescent="0.2">
      <c r="A166" s="66">
        <v>41426</v>
      </c>
      <c r="B166" s="16">
        <v>2.1557052419999998</v>
      </c>
      <c r="C166" s="16">
        <v>2.8</v>
      </c>
      <c r="D166" s="74">
        <v>2.79181286549708</v>
      </c>
      <c r="E166" s="75">
        <f t="shared" si="4"/>
        <v>1.3881828919999999</v>
      </c>
      <c r="F166" s="75">
        <f t="shared" si="5"/>
        <v>1.4727458950000001</v>
      </c>
    </row>
    <row r="167" spans="1:6" x14ac:dyDescent="0.2">
      <c r="A167" s="66">
        <v>41456</v>
      </c>
      <c r="B167" s="16">
        <v>2.2240832369999999</v>
      </c>
      <c r="C167" s="16">
        <v>2.8</v>
      </c>
      <c r="D167" s="74">
        <v>2.86024096385542</v>
      </c>
      <c r="E167" s="75">
        <f t="shared" si="4"/>
        <v>2.1557052419999998</v>
      </c>
      <c r="F167" s="75">
        <f t="shared" si="5"/>
        <v>1.3881828919999999</v>
      </c>
    </row>
    <row r="168" spans="1:6" x14ac:dyDescent="0.2">
      <c r="A168" s="66">
        <v>41487</v>
      </c>
      <c r="B168" s="16">
        <v>2.2886529530000002</v>
      </c>
      <c r="C168" s="16">
        <v>2.8</v>
      </c>
      <c r="D168" s="74">
        <v>3.01837837837838</v>
      </c>
      <c r="E168" s="75">
        <f t="shared" si="4"/>
        <v>2.2240832369999999</v>
      </c>
      <c r="F168" s="75">
        <f t="shared" si="5"/>
        <v>2.1557052419999998</v>
      </c>
    </row>
    <row r="169" spans="1:6" x14ac:dyDescent="0.2">
      <c r="A169" s="66">
        <v>41518</v>
      </c>
      <c r="B169" s="16">
        <v>2.0040252089999999</v>
      </c>
      <c r="C169" s="16">
        <v>2.9</v>
      </c>
      <c r="D169" s="74">
        <v>3.0132075471698099</v>
      </c>
      <c r="E169" s="75">
        <f t="shared" si="4"/>
        <v>2.2886529530000002</v>
      </c>
      <c r="F169" s="75">
        <f t="shared" si="5"/>
        <v>2.2240832369999999</v>
      </c>
    </row>
    <row r="170" spans="1:6" x14ac:dyDescent="0.2">
      <c r="A170" s="66">
        <v>41548</v>
      </c>
      <c r="B170" s="16">
        <v>1.7389968170000001</v>
      </c>
      <c r="C170" s="16">
        <v>2.8</v>
      </c>
      <c r="D170" s="74">
        <v>2.9794594594594601</v>
      </c>
      <c r="E170" s="75">
        <f t="shared" si="4"/>
        <v>2.0040252089999999</v>
      </c>
      <c r="F170" s="75">
        <f t="shared" si="5"/>
        <v>2.2886529530000002</v>
      </c>
    </row>
    <row r="171" spans="1:6" x14ac:dyDescent="0.2">
      <c r="A171" s="66">
        <v>41579</v>
      </c>
      <c r="B171" s="16">
        <v>2.448889962</v>
      </c>
      <c r="C171" s="16">
        <v>2.8</v>
      </c>
      <c r="D171" s="74">
        <v>2.9482142857142901</v>
      </c>
      <c r="E171" s="75">
        <f t="shared" si="4"/>
        <v>1.7389968170000001</v>
      </c>
      <c r="F171" s="75">
        <f t="shared" si="5"/>
        <v>2.0040252089999999</v>
      </c>
    </row>
    <row r="172" spans="1:6" x14ac:dyDescent="0.2">
      <c r="A172" s="66">
        <v>41609</v>
      </c>
      <c r="B172" s="16">
        <v>2.8380748059999998</v>
      </c>
      <c r="C172" s="16">
        <v>2.8</v>
      </c>
      <c r="D172" s="74">
        <v>3.03571428571429</v>
      </c>
      <c r="E172" s="75">
        <f t="shared" si="4"/>
        <v>2.448889962</v>
      </c>
      <c r="F172" s="75">
        <f t="shared" si="5"/>
        <v>1.7389968170000001</v>
      </c>
    </row>
    <row r="173" spans="1:6" x14ac:dyDescent="0.2">
      <c r="A173" s="66">
        <v>41640</v>
      </c>
      <c r="B173" s="16">
        <v>2.8393503760000001</v>
      </c>
      <c r="C173" s="16">
        <v>2.95</v>
      </c>
      <c r="D173" s="74">
        <v>3.1658227848101301</v>
      </c>
      <c r="E173" s="75">
        <f t="shared" si="4"/>
        <v>2.8380748059999998</v>
      </c>
      <c r="F173" s="75">
        <f t="shared" si="5"/>
        <v>2.448889962</v>
      </c>
    </row>
    <row r="174" spans="1:6" x14ac:dyDescent="0.2">
      <c r="A174" s="66">
        <v>41671</v>
      </c>
      <c r="B174" s="16">
        <v>3.2174840179999999</v>
      </c>
      <c r="C174" s="16">
        <v>3</v>
      </c>
      <c r="D174" s="74">
        <v>3.2302325581395399</v>
      </c>
      <c r="E174" s="75">
        <f t="shared" si="4"/>
        <v>2.8393503760000001</v>
      </c>
      <c r="F174" s="75">
        <f t="shared" si="5"/>
        <v>2.8380748059999998</v>
      </c>
    </row>
    <row r="175" spans="1:6" x14ac:dyDescent="0.2">
      <c r="A175" s="66">
        <v>41699</v>
      </c>
      <c r="B175" s="16">
        <v>3.5049060952732001</v>
      </c>
      <c r="C175" s="16">
        <v>3</v>
      </c>
      <c r="D175" s="74">
        <v>3.4167664670658699</v>
      </c>
      <c r="E175" s="75">
        <f t="shared" si="4"/>
        <v>3.2174840179999999</v>
      </c>
      <c r="F175" s="75">
        <f t="shared" si="5"/>
        <v>2.8393503760000001</v>
      </c>
    </row>
    <row r="176" spans="1:6" x14ac:dyDescent="0.2">
      <c r="A176" s="66">
        <v>41730</v>
      </c>
      <c r="B176" s="16">
        <v>4.331577051</v>
      </c>
      <c r="C176" s="16">
        <v>3</v>
      </c>
      <c r="D176" s="74">
        <v>3.5594117647058798</v>
      </c>
      <c r="E176" s="75">
        <f t="shared" si="4"/>
        <v>3.5049060952732001</v>
      </c>
      <c r="F176" s="75">
        <f t="shared" si="5"/>
        <v>3.2174840179999999</v>
      </c>
    </row>
    <row r="177" spans="1:6" x14ac:dyDescent="0.2">
      <c r="A177" s="66">
        <v>41760</v>
      </c>
      <c r="B177" s="16">
        <v>4.7390175570000004</v>
      </c>
      <c r="C177" s="16">
        <v>3.1</v>
      </c>
      <c r="D177" s="74">
        <v>3.8339393939394002</v>
      </c>
      <c r="E177" s="75">
        <f t="shared" si="4"/>
        <v>4.331577051</v>
      </c>
      <c r="F177" s="75">
        <f t="shared" si="5"/>
        <v>3.5049060952732001</v>
      </c>
    </row>
    <row r="178" spans="1:6" x14ac:dyDescent="0.2">
      <c r="A178" s="66">
        <v>41791</v>
      </c>
      <c r="B178" s="16">
        <v>4.314826847</v>
      </c>
      <c r="C178" s="16">
        <v>3</v>
      </c>
      <c r="D178" s="74">
        <v>3.8109090909090901</v>
      </c>
      <c r="E178" s="75">
        <f t="shared" si="4"/>
        <v>4.7390175570000004</v>
      </c>
      <c r="F178" s="75">
        <f t="shared" si="5"/>
        <v>4.331577051</v>
      </c>
    </row>
    <row r="179" spans="1:6" x14ac:dyDescent="0.2">
      <c r="A179" s="66">
        <v>41821</v>
      </c>
      <c r="B179" s="16">
        <v>4.5008999919999999</v>
      </c>
      <c r="C179" s="16">
        <v>3</v>
      </c>
      <c r="D179" s="74">
        <v>3.7518750000000001</v>
      </c>
      <c r="E179" s="75">
        <f t="shared" si="4"/>
        <v>4.314826847</v>
      </c>
      <c r="F179" s="75">
        <f t="shared" si="5"/>
        <v>4.7390175570000004</v>
      </c>
    </row>
    <row r="180" spans="1:6" x14ac:dyDescent="0.2">
      <c r="A180" s="66">
        <v>41852</v>
      </c>
      <c r="B180" s="16">
        <v>4.5428083800000003</v>
      </c>
      <c r="C180" s="16">
        <v>3</v>
      </c>
      <c r="D180" s="74">
        <v>3.6614906832298102</v>
      </c>
      <c r="E180" s="75">
        <f t="shared" si="4"/>
        <v>4.5008999919999999</v>
      </c>
      <c r="F180" s="75">
        <f t="shared" si="5"/>
        <v>4.314826847</v>
      </c>
    </row>
    <row r="181" spans="1:6" x14ac:dyDescent="0.2">
      <c r="A181" s="66">
        <v>41883</v>
      </c>
      <c r="B181" s="16">
        <v>4.905575228</v>
      </c>
      <c r="C181" s="16">
        <v>3.2</v>
      </c>
      <c r="D181" s="74">
        <v>3.83051948051948</v>
      </c>
      <c r="E181" s="75">
        <f t="shared" si="4"/>
        <v>4.5428083800000003</v>
      </c>
      <c r="F181" s="75">
        <f t="shared" si="5"/>
        <v>4.5008999919999999</v>
      </c>
    </row>
    <row r="182" spans="1:6" x14ac:dyDescent="0.2">
      <c r="A182" s="66">
        <v>41913</v>
      </c>
      <c r="B182" s="16">
        <v>5.6832686030000001</v>
      </c>
      <c r="C182" s="16">
        <v>3.3</v>
      </c>
      <c r="D182" s="74">
        <v>4.0458598726114703</v>
      </c>
      <c r="E182" s="75">
        <f t="shared" si="4"/>
        <v>4.905575228</v>
      </c>
      <c r="F182" s="75">
        <f t="shared" si="5"/>
        <v>4.5428083800000003</v>
      </c>
    </row>
    <row r="183" spans="1:6" x14ac:dyDescent="0.2">
      <c r="A183" s="66">
        <v>41944</v>
      </c>
      <c r="B183" s="16">
        <v>5.451905161</v>
      </c>
      <c r="C183" s="16">
        <v>3.1</v>
      </c>
      <c r="D183" s="74">
        <v>4.1419354838709701</v>
      </c>
      <c r="E183" s="75">
        <f t="shared" si="4"/>
        <v>5.6832686030000001</v>
      </c>
      <c r="F183" s="75">
        <f t="shared" si="5"/>
        <v>4.905575228</v>
      </c>
    </row>
    <row r="184" spans="1:6" x14ac:dyDescent="0.2">
      <c r="A184" s="66">
        <v>41974</v>
      </c>
      <c r="B184" s="16">
        <v>4.6463810380000004</v>
      </c>
      <c r="C184" s="16">
        <v>2.7</v>
      </c>
      <c r="D184" s="74">
        <v>4.0298701298701296</v>
      </c>
      <c r="E184" s="75">
        <f t="shared" si="4"/>
        <v>5.451905161</v>
      </c>
      <c r="F184" s="75">
        <f t="shared" si="5"/>
        <v>5.6832686030000001</v>
      </c>
    </row>
    <row r="185" spans="1:6" x14ac:dyDescent="0.2">
      <c r="A185" s="66">
        <v>42005</v>
      </c>
      <c r="B185" s="16">
        <v>4.5402757539999996</v>
      </c>
      <c r="C185" s="16">
        <v>2.7</v>
      </c>
      <c r="D185" s="74">
        <v>3.6931250000000002</v>
      </c>
      <c r="E185" s="75">
        <f t="shared" si="4"/>
        <v>4.6463810380000004</v>
      </c>
      <c r="F185" s="75">
        <f t="shared" si="5"/>
        <v>5.451905161</v>
      </c>
    </row>
    <row r="186" spans="1:6" x14ac:dyDescent="0.2">
      <c r="A186" s="66">
        <v>42036</v>
      </c>
      <c r="B186" s="16">
        <v>4.3999237579999999</v>
      </c>
      <c r="C186" s="16">
        <v>3</v>
      </c>
      <c r="D186" s="74">
        <v>3.6443661971830998</v>
      </c>
      <c r="E186" s="75">
        <f t="shared" si="4"/>
        <v>4.5402757539999996</v>
      </c>
      <c r="F186" s="75">
        <f t="shared" si="5"/>
        <v>4.6463810380000004</v>
      </c>
    </row>
    <row r="187" spans="1:6" x14ac:dyDescent="0.2">
      <c r="A187" s="66">
        <v>42064</v>
      </c>
      <c r="B187" s="16">
        <v>4.1840449919999996</v>
      </c>
      <c r="C187" s="16">
        <v>3</v>
      </c>
      <c r="D187" s="74">
        <v>3.6319727891156499</v>
      </c>
      <c r="E187" s="75">
        <f t="shared" si="4"/>
        <v>4.3999237579999999</v>
      </c>
      <c r="F187" s="75">
        <f t="shared" si="5"/>
        <v>4.5402757539999996</v>
      </c>
    </row>
    <row r="188" spans="1:6" x14ac:dyDescent="0.2">
      <c r="A188" s="66">
        <v>42095</v>
      </c>
      <c r="B188" s="16">
        <v>4.1362888599999996</v>
      </c>
      <c r="C188" s="16">
        <v>3.2</v>
      </c>
      <c r="D188" s="74">
        <v>3.8952702702702702</v>
      </c>
      <c r="E188" s="75">
        <f t="shared" si="4"/>
        <v>4.1840449919999996</v>
      </c>
      <c r="F188" s="75">
        <f t="shared" si="5"/>
        <v>4.3999237579999999</v>
      </c>
    </row>
    <row r="189" spans="1:6" x14ac:dyDescent="0.2">
      <c r="A189" s="66">
        <v>42125</v>
      </c>
      <c r="B189" s="16">
        <v>3.9692351779999999</v>
      </c>
      <c r="C189" s="16">
        <v>3.1</v>
      </c>
      <c r="D189" s="74">
        <v>3.8374149659864001</v>
      </c>
      <c r="E189" s="75">
        <f t="shared" si="4"/>
        <v>4.1362888599999996</v>
      </c>
      <c r="F189" s="75">
        <f t="shared" si="5"/>
        <v>4.1840449919999996</v>
      </c>
    </row>
    <row r="190" spans="1:6" x14ac:dyDescent="0.2">
      <c r="A190" s="66">
        <v>42156</v>
      </c>
      <c r="B190" s="16">
        <v>4.4188928719999998</v>
      </c>
      <c r="C190" s="16">
        <v>3</v>
      </c>
      <c r="D190" s="74">
        <v>3.8013245033112599</v>
      </c>
      <c r="E190" s="75">
        <f t="shared" si="4"/>
        <v>3.9692351779999999</v>
      </c>
      <c r="F190" s="75">
        <f t="shared" si="5"/>
        <v>4.1362888599999996</v>
      </c>
    </row>
    <row r="191" spans="1:6" x14ac:dyDescent="0.2">
      <c r="A191" s="66">
        <v>42186</v>
      </c>
      <c r="B191" s="16">
        <v>4.6173670170000003</v>
      </c>
      <c r="C191" s="16">
        <v>3.2</v>
      </c>
      <c r="D191" s="74">
        <v>3.9352201257861599</v>
      </c>
      <c r="E191" s="75">
        <f t="shared" si="4"/>
        <v>4.4188928719999998</v>
      </c>
      <c r="F191" s="75">
        <f t="shared" si="5"/>
        <v>3.9692351779999999</v>
      </c>
    </row>
    <row r="192" spans="1:6" x14ac:dyDescent="0.2">
      <c r="A192" s="66">
        <v>42217</v>
      </c>
      <c r="B192" s="16">
        <v>4.9833540349999996</v>
      </c>
      <c r="C192" s="16">
        <v>3.5</v>
      </c>
      <c r="D192" s="74">
        <v>4.2266666666666701</v>
      </c>
      <c r="E192" s="75">
        <f t="shared" si="4"/>
        <v>4.6173670170000003</v>
      </c>
      <c r="F192" s="75">
        <f t="shared" si="5"/>
        <v>4.4188928719999998</v>
      </c>
    </row>
    <row r="193" spans="1:6" x14ac:dyDescent="0.2">
      <c r="A193" s="66">
        <v>42248</v>
      </c>
      <c r="B193" s="16">
        <v>4.6448142179999996</v>
      </c>
      <c r="C193" s="16">
        <v>3.7</v>
      </c>
      <c r="D193" s="74">
        <v>4.5534246575342499</v>
      </c>
      <c r="E193" s="75">
        <f t="shared" si="4"/>
        <v>4.9833540349999996</v>
      </c>
      <c r="F193" s="75">
        <f t="shared" si="5"/>
        <v>4.6173670170000003</v>
      </c>
    </row>
    <row r="194" spans="1:6" x14ac:dyDescent="0.2">
      <c r="A194" s="66">
        <v>42278</v>
      </c>
      <c r="B194" s="16">
        <v>3.9892012989999999</v>
      </c>
      <c r="C194" s="16">
        <v>3.5</v>
      </c>
      <c r="D194" s="74">
        <v>4.3953642384106004</v>
      </c>
      <c r="E194" s="75">
        <f t="shared" si="4"/>
        <v>4.6448142179999996</v>
      </c>
      <c r="F194" s="75">
        <f t="shared" si="5"/>
        <v>4.9833540349999996</v>
      </c>
    </row>
    <row r="195" spans="1:6" x14ac:dyDescent="0.2">
      <c r="A195" s="66">
        <v>42309</v>
      </c>
      <c r="B195" s="16">
        <v>3.9366702180000002</v>
      </c>
      <c r="C195" s="16">
        <v>3.5</v>
      </c>
      <c r="D195" s="74">
        <v>4.26644295302013</v>
      </c>
      <c r="E195" s="75">
        <f t="shared" si="4"/>
        <v>3.9892012989999999</v>
      </c>
      <c r="F195" s="75">
        <f t="shared" si="5"/>
        <v>4.6448142179999996</v>
      </c>
    </row>
    <row r="196" spans="1:6" x14ac:dyDescent="0.2">
      <c r="A196" s="66">
        <v>42339</v>
      </c>
      <c r="B196" s="16">
        <v>4.3785121279999997</v>
      </c>
      <c r="C196" s="16">
        <v>3.5</v>
      </c>
      <c r="D196" s="74">
        <v>4.2218309859154903</v>
      </c>
      <c r="E196" s="75">
        <f t="shared" si="4"/>
        <v>3.9366702180000002</v>
      </c>
      <c r="F196" s="75">
        <f t="shared" si="5"/>
        <v>3.9892012989999999</v>
      </c>
    </row>
    <row r="197" spans="1:6" x14ac:dyDescent="0.2">
      <c r="A197" s="66">
        <v>42370</v>
      </c>
      <c r="B197" s="16">
        <v>4.7886569699999999</v>
      </c>
      <c r="C197" s="16">
        <v>3.5</v>
      </c>
      <c r="D197" s="74">
        <v>4.0808510638297903</v>
      </c>
      <c r="E197" s="75">
        <f t="shared" ref="E197:E260" si="6">B196</f>
        <v>4.3785121279999997</v>
      </c>
      <c r="F197" s="75">
        <f t="shared" si="5"/>
        <v>3.9366702180000002</v>
      </c>
    </row>
    <row r="198" spans="1:6" x14ac:dyDescent="0.2">
      <c r="A198" s="66">
        <v>42401</v>
      </c>
      <c r="B198" s="16">
        <v>4.7116053879999997</v>
      </c>
      <c r="C198" s="16">
        <v>3.4</v>
      </c>
      <c r="D198" s="74">
        <v>4.1120300751879704</v>
      </c>
      <c r="E198" s="75">
        <f t="shared" si="6"/>
        <v>4.7886569699999999</v>
      </c>
      <c r="F198" s="75">
        <f t="shared" ref="F198:F261" si="7">E197</f>
        <v>4.3785121279999997</v>
      </c>
    </row>
    <row r="199" spans="1:6" x14ac:dyDescent="0.2">
      <c r="A199" s="66">
        <v>42430</v>
      </c>
      <c r="B199" s="16">
        <v>4.4520436060000002</v>
      </c>
      <c r="C199" s="16">
        <v>3.3</v>
      </c>
      <c r="D199" s="74">
        <v>4.1043478260869604</v>
      </c>
      <c r="E199" s="75">
        <f t="shared" si="6"/>
        <v>4.7116053879999997</v>
      </c>
      <c r="F199" s="75">
        <f t="shared" si="7"/>
        <v>4.7886569699999999</v>
      </c>
    </row>
    <row r="200" spans="1:6" x14ac:dyDescent="0.2">
      <c r="A200" s="66">
        <v>42461</v>
      </c>
      <c r="B200" s="16">
        <v>4.1935543549999998</v>
      </c>
      <c r="C200" s="16">
        <v>3.3</v>
      </c>
      <c r="D200" s="74">
        <v>4.0191780821917797</v>
      </c>
      <c r="E200" s="75">
        <f t="shared" si="6"/>
        <v>4.4520436060000002</v>
      </c>
      <c r="F200" s="75">
        <f t="shared" si="7"/>
        <v>4.7116053879999997</v>
      </c>
    </row>
    <row r="201" spans="1:6" x14ac:dyDescent="0.2">
      <c r="A201" s="66">
        <v>42491</v>
      </c>
      <c r="B201" s="16">
        <v>4.2432470169999998</v>
      </c>
      <c r="C201" s="16">
        <v>3.2</v>
      </c>
      <c r="D201" s="74">
        <v>4.0378571428571401</v>
      </c>
      <c r="E201" s="75">
        <f t="shared" si="6"/>
        <v>4.1935543549999998</v>
      </c>
      <c r="F201" s="75">
        <f t="shared" si="7"/>
        <v>4.4520436060000002</v>
      </c>
    </row>
    <row r="202" spans="1:6" x14ac:dyDescent="0.2">
      <c r="A202" s="66">
        <v>42522</v>
      </c>
      <c r="B202" s="16">
        <v>4.2072360929999997</v>
      </c>
      <c r="C202" s="16">
        <v>3.2</v>
      </c>
      <c r="D202" s="74">
        <v>3.9943661971830999</v>
      </c>
      <c r="E202" s="75">
        <f t="shared" si="6"/>
        <v>4.2432470169999998</v>
      </c>
      <c r="F202" s="75">
        <f t="shared" si="7"/>
        <v>4.1935543549999998</v>
      </c>
    </row>
    <row r="203" spans="1:6" x14ac:dyDescent="0.2">
      <c r="A203" s="66">
        <v>42552</v>
      </c>
      <c r="B203" s="16">
        <v>4.0195779539999998</v>
      </c>
      <c r="C203" s="16">
        <v>3.1</v>
      </c>
      <c r="D203" s="74">
        <v>3.9463576158940401</v>
      </c>
      <c r="E203" s="75">
        <f t="shared" si="6"/>
        <v>4.2072360929999997</v>
      </c>
      <c r="F203" s="75">
        <f t="shared" si="7"/>
        <v>4.2432470169999998</v>
      </c>
    </row>
    <row r="204" spans="1:6" x14ac:dyDescent="0.2">
      <c r="A204" s="66">
        <v>42583</v>
      </c>
      <c r="B204" s="16">
        <v>3.3719572059999998</v>
      </c>
      <c r="C204" s="16">
        <v>3</v>
      </c>
      <c r="D204" s="74">
        <v>3.8875000000000002</v>
      </c>
      <c r="E204" s="75">
        <f t="shared" si="6"/>
        <v>4.0195779539999998</v>
      </c>
      <c r="F204" s="75">
        <f t="shared" si="7"/>
        <v>4.2072360929999997</v>
      </c>
    </row>
    <row r="205" spans="1:6" x14ac:dyDescent="0.2">
      <c r="A205" s="66">
        <v>42614</v>
      </c>
      <c r="B205" s="16">
        <v>3.0960034140000001</v>
      </c>
      <c r="C205" s="16">
        <v>3</v>
      </c>
      <c r="D205" s="74">
        <v>3.7948905109489099</v>
      </c>
      <c r="E205" s="75">
        <f t="shared" si="6"/>
        <v>3.3719572059999998</v>
      </c>
      <c r="F205" s="75">
        <f t="shared" si="7"/>
        <v>4.0195779539999998</v>
      </c>
    </row>
    <row r="206" spans="1:6" x14ac:dyDescent="0.2">
      <c r="A206" s="66">
        <v>42644</v>
      </c>
      <c r="B206" s="16">
        <v>2.8474208810000001</v>
      </c>
      <c r="C206" s="16">
        <v>3</v>
      </c>
      <c r="D206" s="74">
        <v>3.5354014598540102</v>
      </c>
      <c r="E206" s="75">
        <f t="shared" si="6"/>
        <v>3.0960034140000001</v>
      </c>
      <c r="F206" s="75">
        <f t="shared" si="7"/>
        <v>3.3719572059999998</v>
      </c>
    </row>
    <row r="207" spans="1:6" x14ac:dyDescent="0.2">
      <c r="A207" s="66">
        <v>42675</v>
      </c>
      <c r="B207" s="16">
        <v>2.9292128069999999</v>
      </c>
      <c r="C207" s="16">
        <v>3</v>
      </c>
      <c r="D207" s="74">
        <v>3.47348484848485</v>
      </c>
      <c r="E207" s="75">
        <f t="shared" si="6"/>
        <v>2.8474208810000001</v>
      </c>
      <c r="F207" s="75">
        <f t="shared" si="7"/>
        <v>3.0960034140000001</v>
      </c>
    </row>
    <row r="208" spans="1:6" x14ac:dyDescent="0.2">
      <c r="A208" s="66">
        <v>42705</v>
      </c>
      <c r="B208" s="16">
        <v>2.7087246299999999</v>
      </c>
      <c r="C208" s="16">
        <v>2.9</v>
      </c>
      <c r="D208" s="74">
        <v>3.2762589928057499</v>
      </c>
      <c r="E208" s="75">
        <f t="shared" si="6"/>
        <v>2.9292128069999999</v>
      </c>
      <c r="F208" s="75">
        <f t="shared" si="7"/>
        <v>2.8474208810000001</v>
      </c>
    </row>
    <row r="209" spans="1:6" x14ac:dyDescent="0.2">
      <c r="A209" s="66">
        <v>42736</v>
      </c>
      <c r="B209" s="16">
        <v>2.7796949990000002</v>
      </c>
      <c r="C209" s="16">
        <v>2.9</v>
      </c>
      <c r="D209" s="74">
        <v>3.1685314685314698</v>
      </c>
      <c r="E209" s="75">
        <f t="shared" si="6"/>
        <v>2.7087246299999999</v>
      </c>
      <c r="F209" s="75">
        <f t="shared" si="7"/>
        <v>2.9292128069999999</v>
      </c>
    </row>
    <row r="210" spans="1:6" x14ac:dyDescent="0.2">
      <c r="A210" s="66">
        <v>42767</v>
      </c>
      <c r="B210" s="16">
        <v>2.7401561050000001</v>
      </c>
      <c r="C210" s="16">
        <v>2.9</v>
      </c>
      <c r="D210" s="74">
        <v>3.1798561151079099</v>
      </c>
      <c r="E210" s="75">
        <f t="shared" si="6"/>
        <v>2.7796949990000002</v>
      </c>
      <c r="F210" s="75">
        <f t="shared" si="7"/>
        <v>2.7087246299999999</v>
      </c>
    </row>
    <row r="211" spans="1:6" x14ac:dyDescent="0.2">
      <c r="A211" s="66">
        <v>42795</v>
      </c>
      <c r="B211" s="16">
        <v>2.743114984</v>
      </c>
      <c r="C211" s="16">
        <v>3</v>
      </c>
      <c r="D211" s="74">
        <v>3.2104477611940299</v>
      </c>
      <c r="E211" s="75">
        <f t="shared" si="6"/>
        <v>2.7401561050000001</v>
      </c>
      <c r="F211" s="75">
        <f t="shared" si="7"/>
        <v>2.7796949990000002</v>
      </c>
    </row>
    <row r="212" spans="1:6" x14ac:dyDescent="0.2">
      <c r="A212" s="66">
        <v>42826</v>
      </c>
      <c r="B212" s="16">
        <v>2.6544988639999998</v>
      </c>
      <c r="C212" s="16">
        <v>2.9</v>
      </c>
      <c r="D212" s="74">
        <v>3.1969465648855002</v>
      </c>
      <c r="E212" s="75">
        <f t="shared" si="6"/>
        <v>2.743114984</v>
      </c>
      <c r="F212" s="75">
        <f t="shared" si="7"/>
        <v>2.7401561050000001</v>
      </c>
    </row>
    <row r="213" spans="1:6" x14ac:dyDescent="0.2">
      <c r="A213" s="66">
        <v>42856</v>
      </c>
      <c r="B213" s="16">
        <v>2.5545554890000002</v>
      </c>
      <c r="C213" s="16">
        <v>2.9</v>
      </c>
      <c r="D213" s="74">
        <v>3.1375000000000002</v>
      </c>
      <c r="E213" s="75">
        <f t="shared" si="6"/>
        <v>2.6544988639999998</v>
      </c>
      <c r="F213" s="75">
        <f t="shared" si="7"/>
        <v>2.743114984</v>
      </c>
    </row>
    <row r="214" spans="1:6" x14ac:dyDescent="0.2">
      <c r="A214" s="66">
        <v>42887</v>
      </c>
      <c r="B214" s="16">
        <v>1.6973592850000001</v>
      </c>
      <c r="C214" s="16">
        <v>2.9</v>
      </c>
      <c r="D214" s="74">
        <v>3.0367999999999999</v>
      </c>
      <c r="E214" s="75">
        <f t="shared" si="6"/>
        <v>2.5545554890000002</v>
      </c>
      <c r="F214" s="75">
        <f t="shared" si="7"/>
        <v>2.6544988639999998</v>
      </c>
    </row>
    <row r="215" spans="1:6" x14ac:dyDescent="0.2">
      <c r="A215" s="66">
        <v>42917</v>
      </c>
      <c r="B215" s="16">
        <v>1.6965283470000001</v>
      </c>
      <c r="C215" s="16">
        <v>2.7</v>
      </c>
      <c r="D215" s="74">
        <v>2.8427419354838701</v>
      </c>
      <c r="E215" s="75">
        <f t="shared" si="6"/>
        <v>1.6973592850000001</v>
      </c>
      <c r="F215" s="75">
        <f t="shared" si="7"/>
        <v>2.5545554890000002</v>
      </c>
    </row>
    <row r="216" spans="1:6" x14ac:dyDescent="0.2">
      <c r="A216" s="66">
        <v>42948</v>
      </c>
      <c r="B216" s="16">
        <v>1.8523399949999999</v>
      </c>
      <c r="C216" s="16">
        <v>2.7</v>
      </c>
      <c r="D216" s="74">
        <v>2.8433070866141699</v>
      </c>
      <c r="E216" s="75">
        <f t="shared" si="6"/>
        <v>1.6965283470000001</v>
      </c>
      <c r="F216" s="75">
        <f t="shared" si="7"/>
        <v>1.6973592850000001</v>
      </c>
    </row>
    <row r="217" spans="1:6" x14ac:dyDescent="0.2">
      <c r="A217" s="66">
        <v>42979</v>
      </c>
      <c r="B217" s="16">
        <v>1.4514575270000001</v>
      </c>
      <c r="C217" s="16">
        <v>2.7</v>
      </c>
      <c r="D217" s="74">
        <v>2.7918918918918898</v>
      </c>
      <c r="E217" s="75">
        <f t="shared" si="6"/>
        <v>1.8523399949999999</v>
      </c>
      <c r="F217" s="75">
        <f t="shared" si="7"/>
        <v>1.6965283470000001</v>
      </c>
    </row>
    <row r="218" spans="1:6" x14ac:dyDescent="0.2">
      <c r="A218" s="66">
        <v>43009</v>
      </c>
      <c r="B218" s="16">
        <v>1.8778073820000001</v>
      </c>
      <c r="C218" s="16">
        <v>2.5</v>
      </c>
      <c r="D218" s="74">
        <v>2.74461538461538</v>
      </c>
      <c r="E218" s="75">
        <f t="shared" si="6"/>
        <v>1.4514575270000001</v>
      </c>
      <c r="F218" s="75">
        <f t="shared" si="7"/>
        <v>1.8523399949999999</v>
      </c>
    </row>
    <row r="219" spans="1:6" x14ac:dyDescent="0.2">
      <c r="A219" s="66">
        <v>43040</v>
      </c>
      <c r="B219" s="16">
        <v>1.910216932</v>
      </c>
      <c r="C219" s="16">
        <v>2.5</v>
      </c>
      <c r="D219" s="74">
        <v>2.7738461538461499</v>
      </c>
      <c r="E219" s="75">
        <f t="shared" si="6"/>
        <v>1.8778073820000001</v>
      </c>
      <c r="F219" s="75">
        <f t="shared" si="7"/>
        <v>1.4514575270000001</v>
      </c>
    </row>
    <row r="220" spans="1:6" x14ac:dyDescent="0.2">
      <c r="A220" s="66">
        <v>43070</v>
      </c>
      <c r="B220" s="16">
        <v>2.2695936360000002</v>
      </c>
      <c r="C220" s="16">
        <v>2.7</v>
      </c>
      <c r="D220" s="74">
        <v>2.76160714285714</v>
      </c>
      <c r="E220" s="75">
        <f t="shared" si="6"/>
        <v>1.910216932</v>
      </c>
      <c r="F220" s="75">
        <f t="shared" si="7"/>
        <v>1.8778073820000001</v>
      </c>
    </row>
    <row r="221" spans="1:6" x14ac:dyDescent="0.2">
      <c r="A221" s="66">
        <v>43101</v>
      </c>
      <c r="B221" s="16">
        <v>2.1886507389999998</v>
      </c>
      <c r="C221" s="16">
        <v>2.6</v>
      </c>
      <c r="D221" s="74">
        <v>2.7229357799999998</v>
      </c>
      <c r="E221" s="75">
        <f t="shared" si="6"/>
        <v>2.2695936360000002</v>
      </c>
      <c r="F221" s="75">
        <f t="shared" si="7"/>
        <v>1.910216932</v>
      </c>
    </row>
    <row r="222" spans="1:6" x14ac:dyDescent="0.2">
      <c r="A222" s="66">
        <v>43132</v>
      </c>
      <c r="B222" s="16">
        <v>2.0503282409999999</v>
      </c>
      <c r="C222" s="16">
        <v>2.6</v>
      </c>
      <c r="D222" s="74">
        <v>2.8258620689999998</v>
      </c>
      <c r="E222" s="75">
        <f t="shared" si="6"/>
        <v>2.1886507389999998</v>
      </c>
      <c r="F222" s="75">
        <f t="shared" si="7"/>
        <v>2.2695936360000002</v>
      </c>
    </row>
    <row r="223" spans="1:6" x14ac:dyDescent="0.2">
      <c r="A223" s="66">
        <v>43160</v>
      </c>
      <c r="B223" s="16">
        <v>1.866031768</v>
      </c>
      <c r="C223" s="16">
        <v>2.6</v>
      </c>
      <c r="D223" s="74">
        <v>2.7889830510000002</v>
      </c>
      <c r="E223" s="75">
        <f t="shared" si="6"/>
        <v>2.0503282409999999</v>
      </c>
      <c r="F223" s="75">
        <f t="shared" si="7"/>
        <v>2.1886507389999998</v>
      </c>
    </row>
    <row r="224" spans="1:6" x14ac:dyDescent="0.2">
      <c r="A224" s="66">
        <v>43191</v>
      </c>
      <c r="B224" s="16">
        <v>1.8946598990000001</v>
      </c>
      <c r="C224" s="16">
        <v>2.7</v>
      </c>
      <c r="D224" s="74">
        <v>2.7622641510000001</v>
      </c>
      <c r="E224" s="75">
        <f t="shared" si="6"/>
        <v>1.866031768</v>
      </c>
      <c r="F224" s="75">
        <f t="shared" si="7"/>
        <v>2.0503282409999999</v>
      </c>
    </row>
    <row r="225" spans="1:6" x14ac:dyDescent="0.2">
      <c r="A225" s="66">
        <v>43221</v>
      </c>
      <c r="B225" s="16">
        <v>2.028635762</v>
      </c>
      <c r="C225" s="16">
        <v>2.8</v>
      </c>
      <c r="D225" s="74">
        <v>2.7648648649999998</v>
      </c>
      <c r="E225" s="75">
        <f t="shared" si="6"/>
        <v>1.8946598990000001</v>
      </c>
      <c r="F225" s="75">
        <f t="shared" si="7"/>
        <v>1.866031768</v>
      </c>
    </row>
    <row r="226" spans="1:6" x14ac:dyDescent="0.2">
      <c r="A226" s="66">
        <v>43252</v>
      </c>
      <c r="B226" s="16">
        <v>2.5221711529999999</v>
      </c>
      <c r="C226" s="16">
        <v>2.9</v>
      </c>
      <c r="D226" s="74">
        <v>2.8396551720000001</v>
      </c>
      <c r="E226" s="75">
        <f t="shared" si="6"/>
        <v>2.028635762</v>
      </c>
      <c r="F226" s="75">
        <f t="shared" si="7"/>
        <v>1.8946598990000001</v>
      </c>
    </row>
    <row r="227" spans="1:6" x14ac:dyDescent="0.2">
      <c r="A227" s="66">
        <v>43282</v>
      </c>
      <c r="B227" s="16">
        <v>2.607997583</v>
      </c>
      <c r="C227" s="16">
        <v>3</v>
      </c>
      <c r="D227" s="74">
        <v>2.8895370370000002</v>
      </c>
      <c r="E227" s="75">
        <f t="shared" si="6"/>
        <v>2.5221711529999999</v>
      </c>
      <c r="F227" s="75">
        <f t="shared" si="7"/>
        <v>2.028635762</v>
      </c>
    </row>
    <row r="228" spans="1:6" x14ac:dyDescent="0.2">
      <c r="A228" s="66">
        <v>43313</v>
      </c>
      <c r="B228" s="16">
        <v>2.4875616250000001</v>
      </c>
      <c r="C228" s="16">
        <v>3</v>
      </c>
      <c r="D228" s="74">
        <v>2.9629310339999999</v>
      </c>
      <c r="E228" s="75">
        <f t="shared" si="6"/>
        <v>2.607997583</v>
      </c>
      <c r="F228" s="75">
        <f t="shared" si="7"/>
        <v>2.5221711529999999</v>
      </c>
    </row>
    <row r="229" spans="1:6" x14ac:dyDescent="0.2">
      <c r="A229" s="66">
        <v>43344</v>
      </c>
      <c r="B229" s="16">
        <v>2.849709973</v>
      </c>
      <c r="C229" s="16">
        <v>3</v>
      </c>
      <c r="D229" s="74">
        <v>3.0188679249999999</v>
      </c>
      <c r="E229" s="75">
        <f t="shared" si="6"/>
        <v>2.4875616250000001</v>
      </c>
      <c r="F229" s="75">
        <f t="shared" si="7"/>
        <v>2.607997583</v>
      </c>
    </row>
    <row r="230" spans="1:6" x14ac:dyDescent="0.2">
      <c r="A230" s="66">
        <v>43374</v>
      </c>
      <c r="B230" s="16">
        <v>2.6547214280000002</v>
      </c>
      <c r="C230" s="16">
        <v>3</v>
      </c>
      <c r="D230" s="74">
        <v>3.060869565</v>
      </c>
      <c r="E230" s="75">
        <f t="shared" si="6"/>
        <v>2.849709973</v>
      </c>
      <c r="F230" s="75">
        <f t="shared" si="7"/>
        <v>2.4875616250000001</v>
      </c>
    </row>
    <row r="231" spans="1:6" x14ac:dyDescent="0.2">
      <c r="A231" s="66">
        <v>43405</v>
      </c>
      <c r="B231" s="16">
        <v>2.4814633019999999</v>
      </c>
      <c r="C231" s="16">
        <v>3</v>
      </c>
      <c r="D231" s="74">
        <v>3.0336448599999999</v>
      </c>
      <c r="E231" s="75">
        <f t="shared" si="6"/>
        <v>2.6547214280000002</v>
      </c>
      <c r="F231" s="75">
        <f t="shared" si="7"/>
        <v>2.849709973</v>
      </c>
    </row>
    <row r="232" spans="1:6" x14ac:dyDescent="0.2">
      <c r="A232" s="66">
        <v>43435</v>
      </c>
      <c r="B232" s="16">
        <v>2.1409865799999999</v>
      </c>
      <c r="C232" s="16">
        <v>2.9</v>
      </c>
      <c r="D232" s="74">
        <v>2.9756521739999999</v>
      </c>
      <c r="E232" s="75">
        <f t="shared" si="6"/>
        <v>2.4814633019999999</v>
      </c>
      <c r="F232" s="75">
        <f t="shared" si="7"/>
        <v>2.6547214280000002</v>
      </c>
    </row>
    <row r="233" spans="1:6" x14ac:dyDescent="0.2">
      <c r="A233" s="66">
        <v>43466</v>
      </c>
      <c r="B233" s="16">
        <v>1.785591462</v>
      </c>
      <c r="C233" s="16">
        <v>2.8</v>
      </c>
      <c r="D233" s="74">
        <v>2.9615044250000002</v>
      </c>
      <c r="E233" s="75">
        <f t="shared" si="6"/>
        <v>2.1409865799999999</v>
      </c>
      <c r="F233" s="75">
        <f t="shared" si="7"/>
        <v>2.4814633019999999</v>
      </c>
    </row>
    <row r="234" spans="1:6" x14ac:dyDescent="0.2">
      <c r="A234" s="66">
        <v>43497</v>
      </c>
      <c r="B234" s="16">
        <v>1.727118956</v>
      </c>
      <c r="C234" s="16">
        <v>2.8</v>
      </c>
      <c r="D234" s="74">
        <v>2.8785123970000002</v>
      </c>
      <c r="E234" s="75">
        <f t="shared" si="6"/>
        <v>1.785591462</v>
      </c>
      <c r="F234" s="75">
        <f t="shared" si="7"/>
        <v>2.1409865799999999</v>
      </c>
    </row>
    <row r="235" spans="1:6" x14ac:dyDescent="0.2">
      <c r="A235" s="66">
        <v>43525</v>
      </c>
      <c r="B235" s="16">
        <v>2.0045923380000001</v>
      </c>
      <c r="C235" s="16">
        <v>2.8</v>
      </c>
      <c r="D235" s="74">
        <v>2.8305084749999998</v>
      </c>
      <c r="E235" s="75">
        <f t="shared" si="6"/>
        <v>1.727118956</v>
      </c>
      <c r="F235" s="75">
        <f t="shared" si="7"/>
        <v>1.785591462</v>
      </c>
    </row>
    <row r="236" spans="1:6" x14ac:dyDescent="0.2">
      <c r="A236" s="66">
        <v>43556</v>
      </c>
      <c r="B236" s="16">
        <v>1.9974903420000001</v>
      </c>
      <c r="C236" s="16">
        <v>2.8</v>
      </c>
      <c r="D236" s="74">
        <v>2.8224999999999998</v>
      </c>
      <c r="E236" s="75">
        <f t="shared" si="6"/>
        <v>2.0045923380000001</v>
      </c>
      <c r="F236" s="75">
        <f t="shared" si="7"/>
        <v>1.727118956</v>
      </c>
    </row>
    <row r="237" spans="1:6" x14ac:dyDescent="0.2">
      <c r="A237" s="66">
        <v>43586</v>
      </c>
      <c r="B237" s="16">
        <v>2.3494044989999998</v>
      </c>
      <c r="C237" s="16">
        <v>2.9</v>
      </c>
      <c r="D237" s="74">
        <v>2.8401574799999998</v>
      </c>
      <c r="E237" s="75">
        <f t="shared" si="6"/>
        <v>1.9974903420000001</v>
      </c>
      <c r="F237" s="75">
        <f t="shared" si="7"/>
        <v>2.0045923380000001</v>
      </c>
    </row>
    <row r="238" spans="1:6" x14ac:dyDescent="0.2">
      <c r="A238" s="66">
        <v>43617</v>
      </c>
      <c r="B238" s="16">
        <v>2.3052039450000001</v>
      </c>
      <c r="C238" s="16">
        <v>2.9</v>
      </c>
      <c r="D238" s="74">
        <v>2.8920634920000001</v>
      </c>
      <c r="E238" s="75">
        <f t="shared" si="6"/>
        <v>2.3494044989999998</v>
      </c>
      <c r="F238" s="75">
        <f t="shared" si="7"/>
        <v>1.9974903420000001</v>
      </c>
    </row>
    <row r="239" spans="1:6" x14ac:dyDescent="0.2">
      <c r="A239" s="66">
        <v>43647</v>
      </c>
      <c r="B239" s="16">
        <v>2.2017733210000001</v>
      </c>
      <c r="C239" s="16">
        <v>2.8</v>
      </c>
      <c r="D239" s="74">
        <v>2.8414634150000002</v>
      </c>
      <c r="E239" s="75">
        <f t="shared" si="6"/>
        <v>2.3052039450000001</v>
      </c>
      <c r="F239" s="75">
        <f t="shared" si="7"/>
        <v>2.3494044989999998</v>
      </c>
    </row>
    <row r="240" spans="1:6" x14ac:dyDescent="0.2">
      <c r="A240" s="66">
        <v>43678</v>
      </c>
      <c r="B240" s="16">
        <v>2.3066356579999998</v>
      </c>
      <c r="C240" s="16">
        <v>2.8</v>
      </c>
      <c r="D240" s="74">
        <v>2.8008000000000002</v>
      </c>
      <c r="E240" s="75">
        <f t="shared" si="6"/>
        <v>2.2017733210000001</v>
      </c>
      <c r="F240" s="75">
        <f t="shared" si="7"/>
        <v>2.3052039450000001</v>
      </c>
    </row>
    <row r="241" spans="1:6" x14ac:dyDescent="0.2">
      <c r="A241" s="66">
        <v>43709</v>
      </c>
      <c r="B241" s="16">
        <v>2.113110593</v>
      </c>
      <c r="C241" s="16">
        <v>2.8</v>
      </c>
      <c r="D241" s="74">
        <v>2.8180180180000001</v>
      </c>
      <c r="E241" s="75">
        <f t="shared" si="6"/>
        <v>2.3066356579999998</v>
      </c>
      <c r="F241" s="75">
        <f t="shared" si="7"/>
        <v>2.2017733210000001</v>
      </c>
    </row>
    <row r="242" spans="1:6" x14ac:dyDescent="0.2">
      <c r="A242" s="66">
        <v>43739</v>
      </c>
      <c r="B242" s="16">
        <v>2.5353523390000001</v>
      </c>
      <c r="C242" s="16">
        <v>2.9</v>
      </c>
      <c r="D242" s="74">
        <v>2.8410256409999999</v>
      </c>
      <c r="E242" s="75">
        <f t="shared" si="6"/>
        <v>2.113110593</v>
      </c>
      <c r="F242" s="75">
        <f t="shared" si="7"/>
        <v>2.3066356579999998</v>
      </c>
    </row>
    <row r="243" spans="1:6" x14ac:dyDescent="0.2">
      <c r="A243" s="66">
        <v>43770</v>
      </c>
      <c r="B243" s="16">
        <v>2.7079331209999999</v>
      </c>
      <c r="C243" s="16">
        <v>2.7</v>
      </c>
      <c r="D243" s="74">
        <v>3.100869565</v>
      </c>
      <c r="E243" s="75">
        <f t="shared" si="6"/>
        <v>2.5353523390000001</v>
      </c>
      <c r="F243" s="75">
        <f t="shared" si="7"/>
        <v>2.113110593</v>
      </c>
    </row>
    <row r="244" spans="1:6" x14ac:dyDescent="0.2">
      <c r="A244" s="66">
        <v>43800</v>
      </c>
      <c r="B244" s="16">
        <v>3.0004802110000002</v>
      </c>
      <c r="C244" s="16">
        <v>3.2</v>
      </c>
      <c r="D244" s="74">
        <v>3.774509804</v>
      </c>
      <c r="E244" s="75">
        <f t="shared" si="6"/>
        <v>2.7079331209999999</v>
      </c>
      <c r="F244" s="75">
        <f t="shared" si="7"/>
        <v>2.5353523390000001</v>
      </c>
    </row>
    <row r="245" spans="1:6" x14ac:dyDescent="0.2">
      <c r="A245" s="66">
        <v>43831</v>
      </c>
      <c r="B245" s="16">
        <v>3.4688384550000002</v>
      </c>
      <c r="C245" s="16">
        <v>3.2</v>
      </c>
      <c r="D245" s="74">
        <v>3.4569767439999999</v>
      </c>
      <c r="E245" s="75">
        <f t="shared" si="6"/>
        <v>3.0004802110000002</v>
      </c>
      <c r="F245" s="75">
        <f t="shared" si="7"/>
        <v>2.7079331209999999</v>
      </c>
    </row>
    <row r="246" spans="1:6" x14ac:dyDescent="0.2">
      <c r="A246" s="66">
        <v>43862</v>
      </c>
      <c r="B246" s="16">
        <v>3.8847629100000001</v>
      </c>
      <c r="C246" s="16">
        <v>3</v>
      </c>
      <c r="D246" s="74">
        <v>3.3862385320000001</v>
      </c>
      <c r="E246" s="75">
        <f t="shared" si="6"/>
        <v>3.4688384550000002</v>
      </c>
      <c r="F246" s="75">
        <f t="shared" si="7"/>
        <v>3.0004802110000002</v>
      </c>
    </row>
    <row r="247" spans="1:6" x14ac:dyDescent="0.2">
      <c r="A247" s="66">
        <v>43891</v>
      </c>
      <c r="B247" s="16">
        <v>3.7362014339999998</v>
      </c>
      <c r="C247" s="16">
        <v>3.2</v>
      </c>
      <c r="D247" s="74">
        <v>3.5122950820000001</v>
      </c>
      <c r="E247" s="75">
        <f t="shared" si="6"/>
        <v>3.8847629100000001</v>
      </c>
      <c r="F247" s="75">
        <f t="shared" si="7"/>
        <v>3.4688384550000002</v>
      </c>
    </row>
    <row r="248" spans="1:6" x14ac:dyDescent="0.2">
      <c r="A248" s="66">
        <v>43922</v>
      </c>
      <c r="B248" s="16">
        <v>3.4244720630000001</v>
      </c>
      <c r="C248" s="16">
        <v>2.9</v>
      </c>
      <c r="D248" s="74">
        <v>3.798305085</v>
      </c>
      <c r="E248" s="75">
        <f t="shared" si="6"/>
        <v>3.7362014339999998</v>
      </c>
      <c r="F248" s="75">
        <f t="shared" si="7"/>
        <v>3.8847629100000001</v>
      </c>
    </row>
    <row r="249" spans="1:6" x14ac:dyDescent="0.2">
      <c r="A249" s="66">
        <v>43952</v>
      </c>
      <c r="B249" s="16">
        <v>2.751963838</v>
      </c>
      <c r="C249" s="16">
        <v>2.5</v>
      </c>
      <c r="D249" s="74">
        <v>3.2964285709999999</v>
      </c>
      <c r="E249" s="75">
        <f t="shared" si="6"/>
        <v>3.4244720630000001</v>
      </c>
      <c r="F249" s="75">
        <f t="shared" si="7"/>
        <v>3.7362014339999998</v>
      </c>
    </row>
    <row r="250" spans="1:6" x14ac:dyDescent="0.2">
      <c r="A250" s="66">
        <v>43983</v>
      </c>
      <c r="B250" s="16">
        <v>2.628031381</v>
      </c>
      <c r="C250" s="16">
        <v>2.5</v>
      </c>
      <c r="D250" s="74">
        <v>3.2269230769999999</v>
      </c>
      <c r="E250" s="75">
        <f t="shared" si="6"/>
        <v>2.751963838</v>
      </c>
      <c r="F250" s="75">
        <f t="shared" si="7"/>
        <v>3.4244720630000001</v>
      </c>
    </row>
    <row r="251" spans="1:6" x14ac:dyDescent="0.2">
      <c r="A251" s="66">
        <v>44013</v>
      </c>
      <c r="B251" s="16">
        <v>2.5018113679999998</v>
      </c>
      <c r="C251" s="16">
        <v>2.5</v>
      </c>
      <c r="D251" s="74">
        <v>2.903846154</v>
      </c>
      <c r="E251" s="75">
        <f t="shared" si="6"/>
        <v>2.628031381</v>
      </c>
      <c r="F251" s="75">
        <f t="shared" si="7"/>
        <v>2.751963838</v>
      </c>
    </row>
    <row r="252" spans="1:6" x14ac:dyDescent="0.2">
      <c r="A252" s="66">
        <v>44044</v>
      </c>
      <c r="B252" s="16">
        <v>2.445426635</v>
      </c>
      <c r="C252" s="16">
        <v>2.5</v>
      </c>
      <c r="D252" s="74">
        <v>2.7833333329999999</v>
      </c>
      <c r="E252" s="75">
        <f t="shared" si="6"/>
        <v>2.5018113679999998</v>
      </c>
      <c r="F252" s="75">
        <f t="shared" si="7"/>
        <v>2.628031381</v>
      </c>
    </row>
    <row r="253" spans="1:6" x14ac:dyDescent="0.2">
      <c r="A253" s="66">
        <v>44075</v>
      </c>
      <c r="B253" s="16">
        <v>3.0837120859999998</v>
      </c>
      <c r="C253" s="16">
        <v>2.6</v>
      </c>
      <c r="D253" s="74">
        <v>2.8614583329999999</v>
      </c>
      <c r="E253" s="75">
        <f t="shared" si="6"/>
        <v>2.445426635</v>
      </c>
      <c r="F253" s="75">
        <f t="shared" si="7"/>
        <v>2.5018113679999998</v>
      </c>
    </row>
    <row r="254" spans="1:6" x14ac:dyDescent="0.2">
      <c r="A254" s="66">
        <v>44105</v>
      </c>
      <c r="B254" s="16">
        <v>2.9564600950000002</v>
      </c>
      <c r="C254" s="16">
        <v>2.7</v>
      </c>
      <c r="D254" s="74">
        <v>2.8022988510000002</v>
      </c>
      <c r="E254" s="75">
        <f t="shared" si="6"/>
        <v>3.0837120859999998</v>
      </c>
      <c r="F254" s="75">
        <f t="shared" si="7"/>
        <v>2.445426635</v>
      </c>
    </row>
    <row r="255" spans="1:6" x14ac:dyDescent="0.2">
      <c r="A255" s="66">
        <v>44136</v>
      </c>
      <c r="B255" s="16">
        <v>2.7280128330000002</v>
      </c>
      <c r="C255" s="16">
        <v>2.9</v>
      </c>
      <c r="D255" s="74">
        <v>3.0897727270000002</v>
      </c>
      <c r="E255" s="75">
        <f t="shared" si="6"/>
        <v>2.9564600950000002</v>
      </c>
      <c r="F255" s="75">
        <f t="shared" si="7"/>
        <v>3.0837120859999998</v>
      </c>
    </row>
    <row r="256" spans="1:6" x14ac:dyDescent="0.2">
      <c r="A256" s="66">
        <v>44166</v>
      </c>
      <c r="B256" s="16">
        <v>2.9728708990000001</v>
      </c>
      <c r="C256" s="16">
        <v>2.9</v>
      </c>
      <c r="D256" s="74">
        <v>3.149</v>
      </c>
      <c r="E256" s="75">
        <f t="shared" si="6"/>
        <v>2.7280128330000002</v>
      </c>
      <c r="F256" s="75">
        <f t="shared" si="7"/>
        <v>2.9564600950000002</v>
      </c>
    </row>
    <row r="257" spans="1:6" x14ac:dyDescent="0.2">
      <c r="A257" s="66">
        <v>44197</v>
      </c>
      <c r="B257" s="16">
        <v>3.112206333</v>
      </c>
      <c r="C257" s="16">
        <v>3</v>
      </c>
      <c r="D257" s="74">
        <v>3.0714285710000002</v>
      </c>
      <c r="E257" s="75">
        <f t="shared" si="6"/>
        <v>2.9728708990000001</v>
      </c>
      <c r="F257" s="75">
        <f t="shared" si="7"/>
        <v>2.7280128330000002</v>
      </c>
    </row>
    <row r="258" spans="1:6" x14ac:dyDescent="0.2">
      <c r="A258" s="66">
        <v>44228</v>
      </c>
      <c r="B258" s="16">
        <v>2.8421620390000002</v>
      </c>
      <c r="C258" s="16">
        <v>3</v>
      </c>
      <c r="D258" s="74">
        <v>3.2366336630000001</v>
      </c>
      <c r="E258" s="75">
        <f t="shared" si="6"/>
        <v>3.112206333</v>
      </c>
      <c r="F258" s="75">
        <f t="shared" si="7"/>
        <v>2.9728708990000001</v>
      </c>
    </row>
    <row r="259" spans="1:6" x14ac:dyDescent="0.2">
      <c r="A259" s="66">
        <v>44256</v>
      </c>
      <c r="B259" s="16">
        <v>2.8880431369999999</v>
      </c>
      <c r="C259" s="16">
        <v>3</v>
      </c>
      <c r="D259" s="74">
        <v>3.3558558559999998</v>
      </c>
      <c r="E259" s="75">
        <f t="shared" si="6"/>
        <v>2.8421620390000002</v>
      </c>
      <c r="F259" s="75">
        <f t="shared" si="7"/>
        <v>3.112206333</v>
      </c>
    </row>
    <row r="260" spans="1:6" x14ac:dyDescent="0.2">
      <c r="A260" s="66">
        <v>44287</v>
      </c>
      <c r="B260" s="16">
        <v>3.3179267019999998</v>
      </c>
      <c r="C260" s="16">
        <v>3</v>
      </c>
      <c r="D260" s="74">
        <v>3.395132743</v>
      </c>
      <c r="E260" s="75">
        <f t="shared" si="6"/>
        <v>2.8880431369999999</v>
      </c>
      <c r="F260" s="75">
        <f t="shared" si="7"/>
        <v>2.8421620390000002</v>
      </c>
    </row>
    <row r="261" spans="1:6" x14ac:dyDescent="0.2">
      <c r="A261" s="66">
        <v>44317</v>
      </c>
      <c r="B261" s="16">
        <v>3.6470434350000001</v>
      </c>
      <c r="C261" s="16">
        <v>3</v>
      </c>
      <c r="D261" s="74">
        <v>3.5</v>
      </c>
      <c r="E261" s="75">
        <f t="shared" ref="E261:E308" si="8">B260</f>
        <v>3.3179267019999998</v>
      </c>
      <c r="F261" s="75">
        <f t="shared" si="7"/>
        <v>2.8880431369999999</v>
      </c>
    </row>
    <row r="262" spans="1:6" x14ac:dyDescent="0.2">
      <c r="A262" s="66">
        <v>44348</v>
      </c>
      <c r="B262" s="16">
        <v>3.804306983</v>
      </c>
      <c r="C262" s="16">
        <v>3.2</v>
      </c>
      <c r="D262" s="74">
        <v>3.5401960780000001</v>
      </c>
      <c r="E262" s="75">
        <f t="shared" si="8"/>
        <v>3.6470434350000001</v>
      </c>
      <c r="F262" s="75">
        <f t="shared" ref="F262:F308" si="9">E261</f>
        <v>3.3179267019999998</v>
      </c>
    </row>
    <row r="263" spans="1:6" x14ac:dyDescent="0.2">
      <c r="A263" s="66">
        <v>44378</v>
      </c>
      <c r="B263" s="16">
        <v>4.5391987560000002</v>
      </c>
      <c r="C263" s="16">
        <v>3.3</v>
      </c>
      <c r="D263" s="74">
        <v>3.6294642860000002</v>
      </c>
      <c r="E263" s="75">
        <f t="shared" si="8"/>
        <v>3.804306983</v>
      </c>
      <c r="F263" s="75">
        <f t="shared" si="9"/>
        <v>3.6470434350000001</v>
      </c>
    </row>
    <row r="264" spans="1:6" x14ac:dyDescent="0.2">
      <c r="A264" s="66">
        <v>44409</v>
      </c>
      <c r="B264" s="16">
        <v>4.7764148549999996</v>
      </c>
      <c r="C264" s="16">
        <v>3.5</v>
      </c>
      <c r="D264" s="74">
        <v>3.7718446600000002</v>
      </c>
      <c r="E264" s="75">
        <f t="shared" si="8"/>
        <v>4.5391987560000002</v>
      </c>
      <c r="F264" s="75">
        <f t="shared" si="9"/>
        <v>3.804306983</v>
      </c>
    </row>
    <row r="265" spans="1:6" x14ac:dyDescent="0.2">
      <c r="A265" s="66">
        <v>44440</v>
      </c>
      <c r="B265" s="16">
        <v>5.3413926250000001</v>
      </c>
      <c r="C265" s="16">
        <v>4.3</v>
      </c>
      <c r="D265" s="74">
        <v>4.4580952380000003</v>
      </c>
      <c r="E265" s="75">
        <f t="shared" si="8"/>
        <v>4.7764148549999996</v>
      </c>
      <c r="F265" s="75">
        <f t="shared" si="9"/>
        <v>4.5391987560000002</v>
      </c>
    </row>
    <row r="266" spans="1:6" x14ac:dyDescent="0.2">
      <c r="A266" s="66">
        <v>44470</v>
      </c>
      <c r="B266" s="16">
        <v>6.0259159760000003</v>
      </c>
      <c r="C266" s="16">
        <v>4.5</v>
      </c>
      <c r="D266" s="74">
        <v>4.7642201829999999</v>
      </c>
      <c r="E266" s="75">
        <f t="shared" si="8"/>
        <v>5.3413926250000001</v>
      </c>
      <c r="F266" s="75">
        <f t="shared" si="9"/>
        <v>4.7764148549999996</v>
      </c>
    </row>
    <row r="267" spans="1:6" x14ac:dyDescent="0.2">
      <c r="A267" s="66">
        <v>44501</v>
      </c>
      <c r="B267" s="16">
        <v>6.7011794350000002</v>
      </c>
      <c r="C267" s="16">
        <v>4.8</v>
      </c>
      <c r="D267" s="74">
        <v>5.4114583329999997</v>
      </c>
      <c r="E267" s="75">
        <f t="shared" si="8"/>
        <v>6.0259159760000003</v>
      </c>
      <c r="F267" s="75">
        <f t="shared" si="9"/>
        <v>5.3413926250000001</v>
      </c>
    </row>
    <row r="268" spans="1:6" x14ac:dyDescent="0.2">
      <c r="A268" s="66">
        <v>44531</v>
      </c>
      <c r="B268" s="16">
        <v>7.1728409299999996</v>
      </c>
      <c r="C268" s="16">
        <v>4.8</v>
      </c>
      <c r="D268" s="74">
        <v>5.546391753</v>
      </c>
      <c r="E268" s="75">
        <f t="shared" si="8"/>
        <v>6.7011794350000002</v>
      </c>
      <c r="F268" s="75">
        <f t="shared" si="9"/>
        <v>6.0259159760000003</v>
      </c>
    </row>
    <row r="269" spans="1:6" x14ac:dyDescent="0.2">
      <c r="A269" s="66">
        <v>44562</v>
      </c>
      <c r="B269" s="16">
        <v>7.7037331360000003</v>
      </c>
      <c r="C269" s="16">
        <v>4.7</v>
      </c>
      <c r="D269" s="74">
        <v>5.6413043480000002</v>
      </c>
      <c r="E269" s="75">
        <f t="shared" si="8"/>
        <v>7.1728409299999996</v>
      </c>
      <c r="F269" s="75">
        <f t="shared" si="9"/>
        <v>6.7011794350000002</v>
      </c>
    </row>
    <row r="270" spans="1:6" x14ac:dyDescent="0.2">
      <c r="A270" s="66">
        <v>44593</v>
      </c>
      <c r="B270" s="16">
        <v>7.8155724319999997</v>
      </c>
      <c r="C270" s="16">
        <v>4.8</v>
      </c>
      <c r="D270" s="74">
        <v>5.8592233010000001</v>
      </c>
      <c r="E270" s="75">
        <f t="shared" si="8"/>
        <v>7.7037331360000003</v>
      </c>
      <c r="F270" s="75">
        <f t="shared" si="9"/>
        <v>7.1728409299999996</v>
      </c>
    </row>
    <row r="271" spans="1:6" x14ac:dyDescent="0.2">
      <c r="A271" s="66">
        <v>44621</v>
      </c>
      <c r="B271" s="16">
        <v>9.4043689169999993</v>
      </c>
      <c r="C271" s="16">
        <v>5.3</v>
      </c>
      <c r="D271" s="74">
        <v>6.5051724139999996</v>
      </c>
      <c r="E271" s="75">
        <f t="shared" si="8"/>
        <v>7.8155724319999997</v>
      </c>
      <c r="F271" s="75">
        <f t="shared" si="9"/>
        <v>7.7037331360000003</v>
      </c>
    </row>
    <row r="272" spans="1:6" x14ac:dyDescent="0.2">
      <c r="A272" s="66">
        <v>44652</v>
      </c>
      <c r="B272" s="16">
        <v>10.517528520000001</v>
      </c>
      <c r="C272" s="16">
        <v>6</v>
      </c>
      <c r="D272" s="74">
        <v>7.9401709399999998</v>
      </c>
      <c r="E272" s="75">
        <f t="shared" si="8"/>
        <v>9.4043689169999993</v>
      </c>
      <c r="F272" s="75">
        <f t="shared" si="9"/>
        <v>7.8155724319999997</v>
      </c>
    </row>
    <row r="273" spans="1:6" x14ac:dyDescent="0.2">
      <c r="A273" s="66">
        <v>44682</v>
      </c>
      <c r="B273" s="16">
        <v>11.542805270000001</v>
      </c>
      <c r="C273" s="16">
        <v>6.2</v>
      </c>
      <c r="D273" s="74">
        <v>8.8008620690000008</v>
      </c>
      <c r="E273" s="75">
        <f t="shared" si="8"/>
        <v>10.517528520000001</v>
      </c>
      <c r="F273" s="75">
        <f t="shared" si="9"/>
        <v>9.4043689169999993</v>
      </c>
    </row>
    <row r="274" spans="1:6" x14ac:dyDescent="0.2">
      <c r="A274" s="66">
        <v>44713</v>
      </c>
      <c r="B274" s="16">
        <v>12.49339779</v>
      </c>
      <c r="C274" s="16">
        <v>6.5</v>
      </c>
      <c r="D274" s="74">
        <v>9.5024999999999995</v>
      </c>
      <c r="E274" s="75">
        <f t="shared" si="8"/>
        <v>11.542805270000001</v>
      </c>
      <c r="F274" s="75">
        <f t="shared" si="9"/>
        <v>10.517528520000001</v>
      </c>
    </row>
    <row r="275" spans="1:6" x14ac:dyDescent="0.2">
      <c r="A275" s="66">
        <v>44743</v>
      </c>
      <c r="B275" s="16">
        <v>13.12472889</v>
      </c>
      <c r="C275" s="16">
        <v>7.1</v>
      </c>
      <c r="D275" s="74">
        <v>10.1110236220473</v>
      </c>
      <c r="E275" s="75">
        <f t="shared" si="8"/>
        <v>12.49339779</v>
      </c>
      <c r="F275" s="75">
        <f t="shared" si="9"/>
        <v>11.542805270000001</v>
      </c>
    </row>
    <row r="276" spans="1:6" x14ac:dyDescent="0.2">
      <c r="A276" s="66">
        <v>44774</v>
      </c>
      <c r="B276" s="16">
        <v>14.08466187</v>
      </c>
      <c r="C276" s="16">
        <v>7.3</v>
      </c>
      <c r="D276" s="74">
        <v>10.659523809523799</v>
      </c>
      <c r="E276" s="75">
        <f t="shared" si="8"/>
        <v>13.12472889</v>
      </c>
      <c r="F276" s="75">
        <f t="shared" si="9"/>
        <v>12.49339779</v>
      </c>
    </row>
    <row r="277" spans="1:6" x14ac:dyDescent="0.2">
      <c r="A277" s="66">
        <v>44805</v>
      </c>
      <c r="B277" s="16">
        <v>13.731331709999999</v>
      </c>
      <c r="C277" s="16">
        <v>7</v>
      </c>
      <c r="D277" s="74">
        <v>10.65</v>
      </c>
      <c r="E277" s="75">
        <f t="shared" si="8"/>
        <v>14.08466187</v>
      </c>
      <c r="F277" s="75">
        <f t="shared" si="9"/>
        <v>13.12472889</v>
      </c>
    </row>
    <row r="278" spans="1:6" x14ac:dyDescent="0.2">
      <c r="A278" s="66">
        <v>44835</v>
      </c>
      <c r="B278" s="16">
        <v>12.80663704</v>
      </c>
      <c r="C278" s="16">
        <v>6.3</v>
      </c>
      <c r="D278" s="74">
        <v>10.2695652173913</v>
      </c>
      <c r="E278" s="75">
        <f t="shared" si="8"/>
        <v>13.731331709999999</v>
      </c>
      <c r="F278" s="75">
        <f t="shared" si="9"/>
        <v>14.08466187</v>
      </c>
    </row>
    <row r="279" spans="1:6" x14ac:dyDescent="0.2">
      <c r="A279" s="66">
        <v>44866</v>
      </c>
      <c r="B279" s="16">
        <v>13.341456859999999</v>
      </c>
      <c r="C279" s="16">
        <v>5.8</v>
      </c>
      <c r="D279" s="74">
        <v>10.011839999999999</v>
      </c>
      <c r="E279" s="75">
        <f t="shared" si="8"/>
        <v>12.80663704</v>
      </c>
      <c r="F279" s="75">
        <f t="shared" si="9"/>
        <v>13.731331709999999</v>
      </c>
    </row>
    <row r="280" spans="1:6" x14ac:dyDescent="0.2">
      <c r="A280" s="66">
        <v>44896</v>
      </c>
      <c r="B280" s="16">
        <v>12.78165415</v>
      </c>
      <c r="C280" s="16">
        <v>5.3</v>
      </c>
      <c r="D280" s="74">
        <v>9.2612068965517196</v>
      </c>
      <c r="E280" s="75">
        <f t="shared" si="8"/>
        <v>13.341456859999999</v>
      </c>
      <c r="F280" s="75">
        <f t="shared" si="9"/>
        <v>12.80663704</v>
      </c>
    </row>
    <row r="281" spans="1:6" x14ac:dyDescent="0.2">
      <c r="A281" s="66">
        <v>44927</v>
      </c>
      <c r="B281" s="16">
        <v>12.34033586</v>
      </c>
      <c r="C281" s="16">
        <v>5</v>
      </c>
      <c r="D281" s="74">
        <v>8.3818965517241395</v>
      </c>
      <c r="E281" s="75">
        <f t="shared" si="8"/>
        <v>12.78165415</v>
      </c>
      <c r="F281" s="75">
        <f t="shared" si="9"/>
        <v>13.341456859999999</v>
      </c>
    </row>
    <row r="282" spans="1:6" x14ac:dyDescent="0.2">
      <c r="A282" s="66">
        <v>44958</v>
      </c>
      <c r="B282" s="16">
        <v>12.31319042</v>
      </c>
      <c r="C282" s="16">
        <v>5</v>
      </c>
      <c r="D282" s="74">
        <v>8.00948275862069</v>
      </c>
      <c r="E282" s="75">
        <f t="shared" si="8"/>
        <v>12.34033586</v>
      </c>
      <c r="F282" s="75">
        <f t="shared" si="9"/>
        <v>12.78165415</v>
      </c>
    </row>
    <row r="283" spans="1:6" x14ac:dyDescent="0.2">
      <c r="A283" s="66">
        <v>44986</v>
      </c>
      <c r="B283" s="16">
        <v>11.06821175</v>
      </c>
      <c r="C283" s="16">
        <v>4.8</v>
      </c>
      <c r="D283" s="74">
        <v>7.87235772357724</v>
      </c>
      <c r="E283" s="75">
        <f t="shared" si="8"/>
        <v>12.31319042</v>
      </c>
      <c r="F283" s="75">
        <f t="shared" si="9"/>
        <v>12.34033586</v>
      </c>
    </row>
    <row r="284" spans="1:6" x14ac:dyDescent="0.2">
      <c r="A284" s="66">
        <v>45017</v>
      </c>
      <c r="B284" s="16">
        <v>9.8243362600000008</v>
      </c>
      <c r="C284" s="16">
        <v>4.5</v>
      </c>
      <c r="D284" s="74">
        <v>7.8264150943396196</v>
      </c>
      <c r="E284" s="75">
        <f t="shared" si="8"/>
        <v>11.06821175</v>
      </c>
      <c r="F284" s="75">
        <f t="shared" si="9"/>
        <v>12.31319042</v>
      </c>
    </row>
    <row r="285" spans="1:6" x14ac:dyDescent="0.2">
      <c r="A285" s="66">
        <v>45047</v>
      </c>
      <c r="B285" s="16">
        <v>8.8722330879999998</v>
      </c>
      <c r="C285" s="16">
        <v>4.3</v>
      </c>
      <c r="D285" s="74">
        <v>7.4347457627118603</v>
      </c>
      <c r="E285" s="75">
        <f t="shared" si="8"/>
        <v>9.8243362600000008</v>
      </c>
      <c r="F285" s="75">
        <f t="shared" si="9"/>
        <v>11.06821175</v>
      </c>
    </row>
    <row r="286" spans="1:6" x14ac:dyDescent="0.2">
      <c r="A286" s="66">
        <v>45078</v>
      </c>
      <c r="B286" s="16">
        <v>7.4005333689999997</v>
      </c>
      <c r="C286" s="16">
        <v>4</v>
      </c>
      <c r="D286" s="74">
        <v>7.2504587155963298</v>
      </c>
      <c r="E286" s="75">
        <f t="shared" si="8"/>
        <v>8.8722330879999998</v>
      </c>
      <c r="F286" s="75">
        <f t="shared" si="9"/>
        <v>9.8243362600000008</v>
      </c>
    </row>
    <row r="287" spans="1:6" x14ac:dyDescent="0.2">
      <c r="A287" s="66">
        <v>45108</v>
      </c>
      <c r="B287" s="16">
        <v>6.0706596130000001</v>
      </c>
      <c r="C287" s="16">
        <v>3.5</v>
      </c>
      <c r="D287" s="74">
        <v>6.8078431372549</v>
      </c>
      <c r="E287" s="75">
        <f t="shared" si="8"/>
        <v>7.4005333689999997</v>
      </c>
      <c r="F287" s="75">
        <f t="shared" si="9"/>
        <v>8.8722330879999998</v>
      </c>
    </row>
    <row r="288" spans="1:6" x14ac:dyDescent="0.2">
      <c r="A288" s="66">
        <v>45139</v>
      </c>
      <c r="B288" s="16">
        <v>4.9251310549999996</v>
      </c>
      <c r="C288" s="16">
        <v>3.5</v>
      </c>
      <c r="D288" s="74">
        <v>6.2148148148148099</v>
      </c>
      <c r="E288" s="75">
        <f t="shared" si="8"/>
        <v>6.0706596130000001</v>
      </c>
      <c r="F288" s="75">
        <f t="shared" si="9"/>
        <v>7.4005333689999997</v>
      </c>
    </row>
    <row r="289" spans="1:6" x14ac:dyDescent="0.2">
      <c r="A289" s="66">
        <v>45170</v>
      </c>
      <c r="B289" s="16">
        <v>4.6869637590000002</v>
      </c>
      <c r="C289" s="16">
        <v>3.5</v>
      </c>
      <c r="D289" s="74">
        <v>6.0718181818181796</v>
      </c>
      <c r="E289" s="75">
        <f t="shared" si="8"/>
        <v>4.9251310549999996</v>
      </c>
      <c r="F289" s="75">
        <f t="shared" si="9"/>
        <v>6.0706596130000001</v>
      </c>
    </row>
    <row r="290" spans="1:6" x14ac:dyDescent="0.2">
      <c r="A290" s="66">
        <v>45200</v>
      </c>
      <c r="B290" s="16">
        <v>4.4535305410000001</v>
      </c>
      <c r="C290" s="16">
        <v>3.4</v>
      </c>
      <c r="D290" s="74">
        <v>5.49189189189189</v>
      </c>
      <c r="E290" s="75">
        <f t="shared" si="8"/>
        <v>4.6869637590000002</v>
      </c>
      <c r="F290" s="75">
        <f t="shared" si="9"/>
        <v>4.9251310549999996</v>
      </c>
    </row>
    <row r="291" spans="1:6" x14ac:dyDescent="0.2">
      <c r="A291" s="66">
        <v>45231</v>
      </c>
      <c r="B291" s="16">
        <v>4.2156180509999999</v>
      </c>
      <c r="C291" s="16">
        <v>3.3</v>
      </c>
      <c r="D291" s="74">
        <v>5.3509090909090897</v>
      </c>
      <c r="E291" s="75">
        <f t="shared" si="8"/>
        <v>4.4535305410000001</v>
      </c>
      <c r="F291" s="75">
        <f t="shared" si="9"/>
        <v>4.6869637590000002</v>
      </c>
    </row>
    <row r="292" spans="1:6" x14ac:dyDescent="0.2">
      <c r="A292" s="66">
        <v>45261</v>
      </c>
      <c r="B292" s="16">
        <v>3.37450056</v>
      </c>
      <c r="C292" s="16">
        <v>3.1</v>
      </c>
      <c r="D292" s="74">
        <v>4.5443478260869599</v>
      </c>
      <c r="E292" s="75">
        <f t="shared" si="8"/>
        <v>4.2156180509999999</v>
      </c>
      <c r="F292" s="75">
        <f t="shared" si="9"/>
        <v>4.4535305410000001</v>
      </c>
    </row>
    <row r="293" spans="1:6" x14ac:dyDescent="0.2">
      <c r="A293" s="66">
        <v>45292</v>
      </c>
      <c r="B293" s="16">
        <v>3.2344521240000002</v>
      </c>
      <c r="C293" s="16">
        <v>3</v>
      </c>
      <c r="D293" s="74">
        <v>4.4747747747747697</v>
      </c>
      <c r="E293" s="75">
        <f t="shared" si="8"/>
        <v>3.37450056</v>
      </c>
      <c r="F293" s="75">
        <f t="shared" si="9"/>
        <v>4.2156180509999999</v>
      </c>
    </row>
    <row r="294" spans="1:6" x14ac:dyDescent="0.2">
      <c r="A294" s="66">
        <v>45323</v>
      </c>
      <c r="B294" s="16">
        <v>3.5666570000000002</v>
      </c>
      <c r="C294" s="16">
        <v>3</v>
      </c>
      <c r="D294" s="74">
        <v>4.2804347826087001</v>
      </c>
      <c r="E294" s="75">
        <f t="shared" si="8"/>
        <v>3.2344521240000002</v>
      </c>
      <c r="F294" s="75">
        <f t="shared" si="9"/>
        <v>3.37450056</v>
      </c>
    </row>
    <row r="295" spans="1:6" x14ac:dyDescent="0.2">
      <c r="A295" s="66">
        <v>45352</v>
      </c>
      <c r="B295" s="16">
        <v>3.209628162</v>
      </c>
      <c r="C295" s="16">
        <v>3</v>
      </c>
      <c r="D295" s="74">
        <v>4.2276315789473697</v>
      </c>
      <c r="E295" s="75">
        <f t="shared" si="8"/>
        <v>3.5666570000000002</v>
      </c>
      <c r="F295" s="75">
        <f t="shared" si="9"/>
        <v>3.2344521240000002</v>
      </c>
    </row>
    <row r="296" spans="1:6" x14ac:dyDescent="0.2">
      <c r="A296" s="66">
        <v>45383</v>
      </c>
      <c r="B296" s="16">
        <v>3.4821209392144001</v>
      </c>
      <c r="C296" s="16">
        <v>3.1</v>
      </c>
      <c r="D296" s="74">
        <v>4.3207920792079202</v>
      </c>
      <c r="E296" s="75">
        <f t="shared" si="8"/>
        <v>3.209628162</v>
      </c>
      <c r="F296" s="75">
        <f t="shared" si="9"/>
        <v>3.5666570000000002</v>
      </c>
    </row>
    <row r="297" spans="1:6" x14ac:dyDescent="0.2">
      <c r="A297" s="66">
        <v>45413</v>
      </c>
      <c r="B297" s="16">
        <v>3.4222492766591999</v>
      </c>
      <c r="C297" s="16">
        <v>3.2</v>
      </c>
      <c r="D297" s="74">
        <v>4.34255319148936</v>
      </c>
      <c r="E297" s="75">
        <f t="shared" si="8"/>
        <v>3.4821209392144001</v>
      </c>
      <c r="F297" s="75">
        <f t="shared" si="9"/>
        <v>3.209628162</v>
      </c>
    </row>
    <row r="298" spans="1:6" x14ac:dyDescent="0.2">
      <c r="A298" s="66">
        <v>45444</v>
      </c>
      <c r="B298" s="16">
        <v>3.7778068406444998</v>
      </c>
      <c r="C298" s="16">
        <v>3.2</v>
      </c>
      <c r="D298" s="74">
        <v>4.3369999999999997</v>
      </c>
      <c r="E298" s="75">
        <f t="shared" si="8"/>
        <v>3.4222492766591999</v>
      </c>
      <c r="F298" s="75">
        <f t="shared" si="9"/>
        <v>3.4821209392144001</v>
      </c>
    </row>
    <row r="299" spans="1:6" x14ac:dyDescent="0.2">
      <c r="A299" s="66">
        <v>45474</v>
      </c>
      <c r="B299" s="16">
        <v>4.4173706708868998</v>
      </c>
      <c r="C299" s="16">
        <v>3.6</v>
      </c>
      <c r="D299" s="74">
        <v>4.2091503267973902</v>
      </c>
      <c r="E299" s="75">
        <f t="shared" si="8"/>
        <v>3.7778068406444998</v>
      </c>
      <c r="F299" s="75">
        <f t="shared" si="9"/>
        <v>3.4222492766591999</v>
      </c>
    </row>
    <row r="300" spans="1:6" x14ac:dyDescent="0.2">
      <c r="A300" s="66">
        <v>45505</v>
      </c>
      <c r="B300" s="16">
        <v>4.5609002268768002</v>
      </c>
      <c r="C300" s="16">
        <v>3.8</v>
      </c>
      <c r="D300" s="74">
        <v>4.3973856209150304</v>
      </c>
      <c r="E300" s="75">
        <f t="shared" si="8"/>
        <v>4.4173706708868998</v>
      </c>
      <c r="F300" s="75">
        <f t="shared" si="9"/>
        <v>3.7778068406444998</v>
      </c>
    </row>
    <row r="301" spans="1:6" x14ac:dyDescent="0.2">
      <c r="A301" s="66">
        <v>45536</v>
      </c>
      <c r="B301" s="16">
        <v>3.9917311074259998</v>
      </c>
      <c r="C301" s="16">
        <v>3.8</v>
      </c>
      <c r="D301" s="74">
        <v>4.4731249999999996</v>
      </c>
      <c r="E301" s="75">
        <f t="shared" si="8"/>
        <v>4.5609002268768002</v>
      </c>
      <c r="F301" s="75">
        <f t="shared" si="9"/>
        <v>4.4173706708868998</v>
      </c>
    </row>
    <row r="302" spans="1:6" x14ac:dyDescent="0.2">
      <c r="A302" s="66">
        <v>45566</v>
      </c>
      <c r="B302" s="16">
        <v>4.6984342929578</v>
      </c>
      <c r="C302" s="16">
        <v>3.7</v>
      </c>
      <c r="D302" s="74">
        <v>4.3389221556886204</v>
      </c>
      <c r="E302" s="75">
        <f t="shared" si="8"/>
        <v>3.9917311074259998</v>
      </c>
      <c r="F302" s="75">
        <f t="shared" si="9"/>
        <v>4.5609002268768002</v>
      </c>
    </row>
    <row r="303" spans="1:6" x14ac:dyDescent="0.2">
      <c r="A303" s="66">
        <v>45597</v>
      </c>
      <c r="B303" s="16">
        <v>4.1841311531557999</v>
      </c>
      <c r="C303" s="16">
        <v>3.6</v>
      </c>
      <c r="D303" s="74">
        <v>4.2837500000000004</v>
      </c>
      <c r="E303" s="75">
        <f t="shared" si="8"/>
        <v>4.6984342929578</v>
      </c>
      <c r="F303" s="75">
        <f t="shared" si="9"/>
        <v>3.9917311074259998</v>
      </c>
    </row>
    <row r="304" spans="1:6" x14ac:dyDescent="0.2">
      <c r="A304" s="66">
        <v>45627</v>
      </c>
      <c r="B304" s="16">
        <v>4.5271651727949997</v>
      </c>
      <c r="C304" s="16">
        <v>3.6</v>
      </c>
      <c r="D304" s="74">
        <v>4.1993710691823898</v>
      </c>
      <c r="E304" s="75">
        <f t="shared" si="8"/>
        <v>4.1841311531557999</v>
      </c>
      <c r="F304" s="75">
        <f t="shared" si="9"/>
        <v>4.6984342929578</v>
      </c>
    </row>
    <row r="305" spans="1:6" x14ac:dyDescent="0.2">
      <c r="A305" s="66">
        <v>45658</v>
      </c>
      <c r="B305" s="16">
        <v>4.9415503834856001</v>
      </c>
      <c r="C305" s="16">
        <v>3.8</v>
      </c>
      <c r="D305" s="74">
        <v>4.2689440993788796</v>
      </c>
      <c r="E305" s="75">
        <f t="shared" si="8"/>
        <v>4.5271651727949997</v>
      </c>
      <c r="F305" s="75">
        <f t="shared" si="9"/>
        <v>4.1841311531557999</v>
      </c>
    </row>
    <row r="306" spans="1:6" x14ac:dyDescent="0.2">
      <c r="A306" s="66">
        <v>45689</v>
      </c>
      <c r="B306" s="16">
        <v>4.7383011500194003</v>
      </c>
      <c r="C306" s="16">
        <v>3.6</v>
      </c>
      <c r="D306" s="74">
        <v>4.2895522388059701</v>
      </c>
      <c r="E306" s="75">
        <f t="shared" si="8"/>
        <v>4.9415503834856001</v>
      </c>
      <c r="F306" s="75">
        <f t="shared" si="9"/>
        <v>4.5271651727949997</v>
      </c>
    </row>
    <row r="307" spans="1:6" x14ac:dyDescent="0.2">
      <c r="A307" s="66">
        <v>45717</v>
      </c>
      <c r="B307" s="17">
        <v>4.9000000000000004</v>
      </c>
      <c r="C307" s="16">
        <v>3.5</v>
      </c>
      <c r="D307" s="74">
        <v>4.32</v>
      </c>
      <c r="E307" s="75">
        <f t="shared" si="8"/>
        <v>4.7383011500194003</v>
      </c>
      <c r="F307" s="75">
        <f t="shared" si="9"/>
        <v>4.9415503834856001</v>
      </c>
    </row>
    <row r="308" spans="1:6" x14ac:dyDescent="0.2">
      <c r="A308" s="67">
        <v>45748</v>
      </c>
      <c r="B308" s="80">
        <f t="shared" ref="B308:B320" si="10">$F$341+($F$342*B307)+($F$343*B306)</f>
        <v>4.9477166777590291</v>
      </c>
      <c r="C308" s="15">
        <v>3.6</v>
      </c>
      <c r="E308" s="75">
        <f t="shared" si="8"/>
        <v>4.9000000000000004</v>
      </c>
      <c r="F308" s="75">
        <f t="shared" si="9"/>
        <v>4.7383011500194003</v>
      </c>
    </row>
    <row r="309" spans="1:6" x14ac:dyDescent="0.2">
      <c r="A309" s="67">
        <v>45778</v>
      </c>
      <c r="B309" s="80">
        <f t="shared" si="10"/>
        <v>4.9387903036847529</v>
      </c>
    </row>
    <row r="310" spans="1:6" x14ac:dyDescent="0.2">
      <c r="A310" s="67">
        <v>45809</v>
      </c>
      <c r="B310" s="80">
        <f t="shared" si="10"/>
        <v>4.9026602637179595</v>
      </c>
    </row>
    <row r="311" spans="1:6" x14ac:dyDescent="0.2">
      <c r="A311" s="67">
        <v>45839</v>
      </c>
      <c r="B311" s="80">
        <f t="shared" si="10"/>
        <v>4.8543871209500429</v>
      </c>
    </row>
    <row r="312" spans="1:6" x14ac:dyDescent="0.2">
      <c r="A312" s="67">
        <v>45870</v>
      </c>
      <c r="B312" s="80">
        <f t="shared" si="10"/>
        <v>4.8016241894853726</v>
      </c>
    </row>
    <row r="313" spans="1:6" x14ac:dyDescent="0.2">
      <c r="A313" s="67">
        <v>45901</v>
      </c>
      <c r="B313" s="80">
        <f t="shared" si="10"/>
        <v>4.7482119835673657</v>
      </c>
    </row>
    <row r="314" spans="1:6" x14ac:dyDescent="0.2">
      <c r="A314" s="67">
        <v>45931</v>
      </c>
      <c r="B314" s="80">
        <f t="shared" si="10"/>
        <v>4.696031285164783</v>
      </c>
    </row>
    <row r="315" spans="1:6" x14ac:dyDescent="0.2">
      <c r="A315" s="67">
        <v>45962</v>
      </c>
      <c r="B315" s="80">
        <f t="shared" si="10"/>
        <v>4.6459582959567989</v>
      </c>
      <c r="C315" s="14"/>
    </row>
    <row r="316" spans="1:6" x14ac:dyDescent="0.2">
      <c r="A316" s="67">
        <v>45992</v>
      </c>
      <c r="B316" s="80">
        <f t="shared" si="10"/>
        <v>4.5983568036796285</v>
      </c>
    </row>
    <row r="317" spans="1:6" x14ac:dyDescent="0.2">
      <c r="A317" s="67">
        <v>46023</v>
      </c>
      <c r="B317" s="80">
        <f t="shared" si="10"/>
        <v>4.5533316321846389</v>
      </c>
    </row>
    <row r="318" spans="1:6" x14ac:dyDescent="0.2">
      <c r="A318" s="67">
        <v>46054</v>
      </c>
      <c r="B318" s="80">
        <f t="shared" si="10"/>
        <v>4.5108590179458954</v>
      </c>
    </row>
    <row r="319" spans="1:6" x14ac:dyDescent="0.2">
      <c r="A319" s="67">
        <v>46082</v>
      </c>
      <c r="B319" s="80">
        <f t="shared" si="10"/>
        <v>4.4708535427518044</v>
      </c>
    </row>
    <row r="320" spans="1:6" x14ac:dyDescent="0.2">
      <c r="A320" s="67">
        <v>46113</v>
      </c>
      <c r="B320" s="80">
        <f t="shared" si="10"/>
        <v>4.433202369402041</v>
      </c>
    </row>
    <row r="325" spans="1:21" x14ac:dyDescent="0.2">
      <c r="E325" s="58" t="s">
        <v>9</v>
      </c>
      <c r="F325" s="58"/>
      <c r="G325"/>
      <c r="H325"/>
      <c r="I325"/>
      <c r="J325"/>
      <c r="K325"/>
      <c r="L325"/>
      <c r="M325"/>
    </row>
    <row r="326" spans="1:21" ht="16" thickBot="1" x14ac:dyDescent="0.25">
      <c r="E326"/>
      <c r="F326"/>
      <c r="G326"/>
      <c r="H326"/>
      <c r="I326"/>
      <c r="J326"/>
      <c r="K326"/>
      <c r="L326"/>
      <c r="M326"/>
    </row>
    <row r="327" spans="1:21" x14ac:dyDescent="0.2">
      <c r="E327" s="59" t="s">
        <v>10</v>
      </c>
      <c r="F327" s="59"/>
      <c r="G327"/>
      <c r="H327"/>
      <c r="I327"/>
      <c r="J327"/>
      <c r="K327"/>
      <c r="L327"/>
      <c r="M327"/>
    </row>
    <row r="328" spans="1:21" x14ac:dyDescent="0.2">
      <c r="E328" s="58" t="s">
        <v>11</v>
      </c>
      <c r="F328">
        <v>0.98503000916749883</v>
      </c>
      <c r="G328"/>
      <c r="H328"/>
      <c r="I328"/>
      <c r="J328"/>
      <c r="K328"/>
      <c r="L328"/>
      <c r="M328"/>
    </row>
    <row r="329" spans="1:21" x14ac:dyDescent="0.2">
      <c r="A329" s="79"/>
      <c r="E329" s="58" t="s">
        <v>12</v>
      </c>
      <c r="F329">
        <v>0.9702841189605228</v>
      </c>
      <c r="G329"/>
      <c r="H329"/>
      <c r="I329"/>
      <c r="J329"/>
      <c r="K329"/>
      <c r="L329"/>
      <c r="M329"/>
    </row>
    <row r="330" spans="1:21" x14ac:dyDescent="0.2">
      <c r="A330" s="79"/>
      <c r="E330" s="58" t="s">
        <v>13</v>
      </c>
      <c r="F330">
        <v>0.97008535052547618</v>
      </c>
      <c r="G330"/>
      <c r="H330"/>
      <c r="I330"/>
      <c r="J330"/>
      <c r="K330"/>
      <c r="L330"/>
      <c r="M330"/>
    </row>
    <row r="331" spans="1:21" x14ac:dyDescent="0.2">
      <c r="A331" s="79"/>
      <c r="E331" s="58" t="s">
        <v>14</v>
      </c>
      <c r="F331">
        <v>0.46274616676003066</v>
      </c>
      <c r="G331"/>
      <c r="H331"/>
      <c r="I331"/>
      <c r="J331"/>
      <c r="K331"/>
      <c r="L331"/>
      <c r="M331"/>
    </row>
    <row r="332" spans="1:21" ht="16" thickBot="1" x14ac:dyDescent="0.25">
      <c r="E332" s="61" t="s">
        <v>15</v>
      </c>
      <c r="F332" s="10">
        <v>302</v>
      </c>
      <c r="G332"/>
      <c r="H332"/>
      <c r="I332"/>
      <c r="J332"/>
      <c r="K332"/>
      <c r="L332"/>
      <c r="M332"/>
    </row>
    <row r="333" spans="1:21" x14ac:dyDescent="0.2">
      <c r="E333"/>
      <c r="F333"/>
      <c r="G333"/>
      <c r="H333"/>
      <c r="I333"/>
      <c r="J333"/>
      <c r="K333"/>
      <c r="L333"/>
      <c r="M333"/>
    </row>
    <row r="334" spans="1:21" ht="16" thickBot="1" x14ac:dyDescent="0.25">
      <c r="E334" s="58" t="s">
        <v>16</v>
      </c>
      <c r="F334" s="58"/>
      <c r="G334"/>
      <c r="H334"/>
      <c r="I334"/>
      <c r="J334"/>
      <c r="K334"/>
      <c r="L334"/>
      <c r="M334"/>
    </row>
    <row r="335" spans="1:21" x14ac:dyDescent="0.2">
      <c r="E335" s="60"/>
      <c r="F335" s="60" t="s">
        <v>21</v>
      </c>
      <c r="G335" s="60" t="s">
        <v>22</v>
      </c>
      <c r="H335" s="60" t="s">
        <v>23</v>
      </c>
      <c r="I335" s="60" t="s">
        <v>24</v>
      </c>
      <c r="J335" s="60" t="s">
        <v>25</v>
      </c>
      <c r="K335"/>
      <c r="L335"/>
      <c r="M335"/>
      <c r="N335"/>
      <c r="O335"/>
      <c r="P335"/>
      <c r="Q335"/>
      <c r="R335"/>
      <c r="S335"/>
      <c r="T335"/>
      <c r="U335"/>
    </row>
    <row r="336" spans="1:21" x14ac:dyDescent="0.2">
      <c r="E336" s="58" t="s">
        <v>17</v>
      </c>
      <c r="F336">
        <v>2</v>
      </c>
      <c r="G336">
        <v>2090.5817756274791</v>
      </c>
      <c r="H336">
        <v>1045.2908878137396</v>
      </c>
      <c r="I336">
        <v>4881.4798925830701</v>
      </c>
      <c r="J336">
        <v>5.1498829372984297E-229</v>
      </c>
      <c r="K336"/>
      <c r="L336"/>
      <c r="M336"/>
      <c r="N336"/>
      <c r="O336"/>
      <c r="P336"/>
      <c r="Q336"/>
      <c r="R336"/>
      <c r="S336"/>
      <c r="T336"/>
      <c r="U336"/>
    </row>
    <row r="337" spans="5:13" x14ac:dyDescent="0.2">
      <c r="E337" s="58" t="s">
        <v>18</v>
      </c>
      <c r="F337">
        <v>299</v>
      </c>
      <c r="G337">
        <v>64.026070440479529</v>
      </c>
      <c r="H337">
        <v>0.21413401485110212</v>
      </c>
      <c r="I337"/>
      <c r="J337"/>
      <c r="K337"/>
      <c r="L337"/>
      <c r="M337"/>
    </row>
    <row r="338" spans="5:13" ht="16" thickBot="1" x14ac:dyDescent="0.25">
      <c r="E338" s="61" t="s">
        <v>19</v>
      </c>
      <c r="F338" s="10">
        <v>301</v>
      </c>
      <c r="G338" s="10">
        <v>2154.6078460679587</v>
      </c>
      <c r="H338" s="10"/>
      <c r="I338" s="10"/>
      <c r="J338" s="10"/>
      <c r="K338"/>
      <c r="L338"/>
      <c r="M338"/>
    </row>
    <row r="339" spans="5:13" ht="16" thickBot="1" x14ac:dyDescent="0.25">
      <c r="E339"/>
      <c r="F339"/>
      <c r="G339"/>
      <c r="H339"/>
      <c r="I339"/>
      <c r="J339"/>
      <c r="K339"/>
      <c r="L339"/>
      <c r="M339"/>
    </row>
    <row r="340" spans="5:13" x14ac:dyDescent="0.2">
      <c r="E340" s="60"/>
      <c r="F340" s="60" t="s">
        <v>26</v>
      </c>
      <c r="G340" s="60" t="s">
        <v>14</v>
      </c>
      <c r="H340" s="60" t="s">
        <v>27</v>
      </c>
      <c r="I340" s="60" t="s">
        <v>28</v>
      </c>
      <c r="J340" s="60" t="s">
        <v>29</v>
      </c>
      <c r="K340" s="60" t="s">
        <v>30</v>
      </c>
      <c r="L340" s="60" t="s">
        <v>31</v>
      </c>
      <c r="M340" s="60" t="s">
        <v>32</v>
      </c>
    </row>
    <row r="341" spans="5:13" x14ac:dyDescent="0.2">
      <c r="E341" s="58" t="s">
        <v>20</v>
      </c>
      <c r="F341">
        <v>0.1111766118816695</v>
      </c>
      <c r="G341">
        <v>4.5919103995127865E-2</v>
      </c>
      <c r="H341">
        <v>2.4211407063488353</v>
      </c>
      <c r="I341">
        <v>1.606709075730085E-2</v>
      </c>
      <c r="J341">
        <v>2.0811044752745575E-2</v>
      </c>
      <c r="K341">
        <v>0.2015421790105934</v>
      </c>
      <c r="L341">
        <v>2.0811044752745575E-2</v>
      </c>
      <c r="M341">
        <v>0.2015421790105934</v>
      </c>
    </row>
    <row r="342" spans="5:13" x14ac:dyDescent="0.2">
      <c r="E342" s="58" t="s">
        <v>33</v>
      </c>
      <c r="F342">
        <v>1.4558769046292457</v>
      </c>
      <c r="G342">
        <v>5.0499074753368782E-2</v>
      </c>
      <c r="H342">
        <v>28.82977384713617</v>
      </c>
      <c r="I342">
        <v>2.5038735786156707E-88</v>
      </c>
      <c r="J342">
        <v>1.3564982771617262</v>
      </c>
      <c r="K342">
        <v>1.5552555320967651</v>
      </c>
      <c r="L342">
        <v>1.3564982771617262</v>
      </c>
      <c r="M342">
        <v>1.5552555320967651</v>
      </c>
    </row>
    <row r="343" spans="5:13" ht="16" thickBot="1" x14ac:dyDescent="0.25">
      <c r="E343" s="61" t="s">
        <v>70</v>
      </c>
      <c r="F343" s="10">
        <v>-0.48482709183576039</v>
      </c>
      <c r="G343" s="10">
        <v>5.0487487115596891E-2</v>
      </c>
      <c r="H343" s="10">
        <v>-9.6029158814280695</v>
      </c>
      <c r="I343" s="10">
        <v>3.3078665100825638E-19</v>
      </c>
      <c r="J343" s="10">
        <v>-0.58418291564711411</v>
      </c>
      <c r="K343" s="10">
        <v>-0.38547126802440668</v>
      </c>
      <c r="L343" s="10">
        <v>-0.58418291564711411</v>
      </c>
      <c r="M343" s="10">
        <v>-0.38547126802440668</v>
      </c>
    </row>
    <row r="344" spans="5:13" x14ac:dyDescent="0.2">
      <c r="E344"/>
      <c r="F344"/>
      <c r="G344"/>
      <c r="H344"/>
      <c r="I344"/>
      <c r="J344"/>
      <c r="K344"/>
      <c r="L344"/>
      <c r="M344"/>
    </row>
  </sheetData>
  <mergeCells count="1">
    <mergeCell ref="A1:C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NOWCAST</vt:lpstr>
      <vt:lpstr>PRÓNOSTICO</vt:lpstr>
      <vt:lpstr>ANÁLISIS</vt:lpstr>
      <vt:lpstr>MODELO AR(2)</vt:lpstr>
      <vt:lpstr>PRONOSTICAR CON MODELO AR(2)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ppinchei</dc:creator>
  <cp:lastModifiedBy>Benjamin Ignacio Parraguez Aguilera</cp:lastModifiedBy>
  <dcterms:created xsi:type="dcterms:W3CDTF">2023-07-13T01:27:35Z</dcterms:created>
  <dcterms:modified xsi:type="dcterms:W3CDTF">2025-04-27T01:27:12Z</dcterms:modified>
</cp:coreProperties>
</file>